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feed and selling prices 1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<sst xmlns="http://schemas.openxmlformats.org/spreadsheetml/2006/main" count="248" uniqueCount="248">
  <si>
    <t xml:space="preserve">Product Code</t>
  </si>
  <si>
    <t xml:space="preserve">Product Description</t>
  </si>
  <si>
    <t xml:space="preserve">Product Category</t>
  </si>
  <si>
    <t xml:space="preserve">Quantity in Stock</t>
  </si>
  <si>
    <t xml:space="preserve">Cost Price</t>
  </si>
  <si>
    <t xml:space="preserve">Sales Price</t>
  </si>
  <si>
    <t xml:space="preserve">Expected Sales</t>
  </si>
  <si>
    <t xml:space="preserve">Sell Price ex VAT</t>
  </si>
  <si>
    <t xml:space="preserve">Sell Price inc VAT</t>
  </si>
  <si>
    <t xml:space="preserve">2T2010483/M25</t>
  </si>
  <si>
    <t xml:space="preserve">MOUNTFIELD 1330M REAR-COLLECT LAWN TRACTOR WITH MANUAL DRIVE</t>
  </si>
  <si>
    <t xml:space="preserve">2T0052483/CAS</t>
  </si>
  <si>
    <t xml:space="preserve">MOUNTFIELD 827M RIDE-ON LAWNMOWER</t>
  </si>
  <si>
    <t xml:space="preserve">2T0980473/C22</t>
  </si>
  <si>
    <t xml:space="preserve">CASTEL GARDEN PTX 210 HD LAWN TRACTOR</t>
  </si>
  <si>
    <t xml:space="preserve">DC24-4</t>
  </si>
  <si>
    <t xml:space="preserve">SPECTRUM DC24-4 RIDE ON MOWER</t>
  </si>
  <si>
    <t xml:space="preserve">SBS40CB</t>
  </si>
  <si>
    <t xml:space="preserve">SPECTRUM BY SWIFT SBS40CB 4.0AH BATTERY</t>
  </si>
  <si>
    <t xml:space="preserve">TG561-SWT</t>
  </si>
  <si>
    <t xml:space="preserve">SPECTRUM TG561-SWT SELF PROPELLED WHEELED TRIMMER</t>
  </si>
  <si>
    <t xml:space="preserve">TG56-PRO</t>
  </si>
  <si>
    <t xml:space="preserve">SPECTRUM TG56-PRO LAWNMOWER</t>
  </si>
  <si>
    <t xml:space="preserve">TG48-PRO</t>
  </si>
  <si>
    <t xml:space="preserve">SPECTRUM TG48-PRO VARIABLE SPEED PETROL LAWNMOWER</t>
  </si>
  <si>
    <t xml:space="preserve">TG51SE</t>
  </si>
  <si>
    <t xml:space="preserve">SPECTRUM TG51SE KEY START LAWNMOWER</t>
  </si>
  <si>
    <t xml:space="preserve">TG56SE</t>
  </si>
  <si>
    <t xml:space="preserve">SPECTRUM TG56SE KEY START LAWNMOWER</t>
  </si>
  <si>
    <t xml:space="preserve">DCT38M-SDM</t>
  </si>
  <si>
    <t xml:space="preserve">SPECTRUM DCT38M-SDM 2-IN-1 SIDE DISCHARGE GARDEN TRACTOR WITH GEAR DRIVE</t>
  </si>
  <si>
    <t xml:space="preserve">TG45SC-E</t>
  </si>
  <si>
    <t xml:space="preserve">TG45SC-E PETROL SCARIFIER 2-IN-1, ELECTRIC KEY START</t>
  </si>
  <si>
    <t xml:space="preserve">SW420-EXPERT</t>
  </si>
  <si>
    <t xml:space="preserve">SPECTRUM SW420 EXPERT 2 IN 1 PETROL SCARIFIER</t>
  </si>
  <si>
    <t xml:space="preserve">HF2625HME</t>
  </si>
  <si>
    <t xml:space="preserve">HONDA HF 2625 HME PREMIUM LAWN TRACTOR</t>
  </si>
  <si>
    <t xml:space="preserve">TG45SC</t>
  </si>
  <si>
    <t xml:space="preserve">SPECTRUM TG45SC PETROL SCARIFIER 2-IN-1, RECOIL START</t>
  </si>
  <si>
    <t xml:space="preserve">DM26PBV</t>
  </si>
  <si>
    <t xml:space="preserve">SPECTRUM DM26PBV PETROL BLOWER-VAC</t>
  </si>
  <si>
    <t xml:space="preserve">2T2630447/AT2</t>
  </si>
  <si>
    <t xml:space="preserve">ATCO GT 38H REAR-COLLECT V-TWIN GARDEN TRACTOR</t>
  </si>
  <si>
    <t xml:space="preserve">CS-621SX/50</t>
  </si>
  <si>
    <t xml:space="preserve">ECHO CS-621SX/50 PETROL CHAINSAW 20" GUIDE BAR</t>
  </si>
  <si>
    <t xml:space="preserve">LPW2200</t>
  </si>
  <si>
    <t xml:space="preserve">SPECTRUM LPW2200 ELECTRIC PRESSURE WASHER</t>
  </si>
  <si>
    <t xml:space="preserve">HRX476QY</t>
  </si>
  <si>
    <t xml:space="preserve">HONDA HRX 476 QY ROLLER LAWNMOWER</t>
  </si>
  <si>
    <t xml:space="preserve">2T1315481/ST1</t>
  </si>
  <si>
    <t xml:space="preserve">Stiga Estate 7122 W REAR COLLECT V-TWIN GARDEN TRACTOR WITH HYDROSTATIC DRIVE </t>
  </si>
  <si>
    <t xml:space="preserve">2T1425473/C22</t>
  </si>
  <si>
    <t xml:space="preserve">Castel Garden XHT 240 4WD Rear-Collect V-Twin Garden Tractor with Hydrostatic Drive</t>
  </si>
  <si>
    <t xml:space="preserve">T92H</t>
  </si>
  <si>
    <t xml:space="preserve">HARRY T92H TRACTOR 36" DECK 432CC ENGINE"</t>
  </si>
  <si>
    <t xml:space="preserve">HF2417K5HT</t>
  </si>
  <si>
    <t xml:space="preserve">HONDA HF 2417 HTE PREMIUM GARDEN TRACTOR</t>
  </si>
  <si>
    <t xml:space="preserve">TG480RTTR</t>
  </si>
  <si>
    <t xml:space="preserve">SPECTRUM TG480RTTR REAR TINE CULTIVATOR</t>
  </si>
  <si>
    <t xml:space="preserve">T84H</t>
  </si>
  <si>
    <t xml:space="preserve">HARRY T84H TRACTOR 33" DECK 432CC ENGINE"</t>
  </si>
  <si>
    <t xml:space="preserve">HF2417KFHM</t>
  </si>
  <si>
    <t xml:space="preserve">HONDA HF 2417 HME PREMIUM GARDEN TRACTOR</t>
  </si>
  <si>
    <t xml:space="preserve">2T1950381/ST1</t>
  </si>
  <si>
    <t xml:space="preserve">STIGA TORNADO 9121 W SIDE DISCHARGE TRACTOR - HONDA GXV 690 (688CC ENGINE)</t>
  </si>
  <si>
    <t xml:space="preserve">2T2100481/ST1</t>
  </si>
  <si>
    <t xml:space="preserve">STIGA ESTATE 384 LAWN TRACTOR HYDROSTATIC</t>
  </si>
  <si>
    <t xml:space="preserve">TG60FTTR</t>
  </si>
  <si>
    <t xml:space="preserve">SPECTRUM TG60FTTR PETROL CULTIVATOR</t>
  </si>
  <si>
    <t xml:space="preserve">SIMPLICITY SYT410 TRACTOR 48" CUT"</t>
  </si>
  <si>
    <t xml:space="preserve">LPW1600</t>
  </si>
  <si>
    <t xml:space="preserve">SPECTRUM LPW1600 ELECTRIC PRESSURE WASHER</t>
  </si>
  <si>
    <t xml:space="preserve">HRTF220</t>
  </si>
  <si>
    <t xml:space="preserve">FEIDER HRTF220 REAR TINE CULTIVATOR (BLUE) 272403</t>
  </si>
  <si>
    <t xml:space="preserve">SIMPLICITY SZT350 ZERO TURN TRACTOR</t>
  </si>
  <si>
    <t xml:space="preserve">TG40SE</t>
  </si>
  <si>
    <t xml:space="preserve">SPECTRUM TG40SE LAWNMOWER WITH ELECTRIC START</t>
  </si>
  <si>
    <t xml:space="preserve">HRM1500BC</t>
  </si>
  <si>
    <t xml:space="preserve">HONDA HRM1500 LIVE MIIMO ROBOTIC MOWER</t>
  </si>
  <si>
    <t xml:space="preserve">TG40SE-AMZ</t>
  </si>
  <si>
    <t xml:space="preserve">SPECTRUM TG40SE KEY START  LAWNMOWER - AMAZON FULFILLED</t>
  </si>
  <si>
    <t xml:space="preserve">RAC139PTIL</t>
  </si>
  <si>
    <t xml:space="preserve">RACING RAC139PTIL PETROL FRONT-TINE TILLER</t>
  </si>
  <si>
    <t xml:space="preserve">TY8000V</t>
  </si>
  <si>
    <t xml:space="preserve">SPECTRUM TY8000V 8-TONNE VERTICAL ELECTRIC LOG SPLITTER</t>
  </si>
  <si>
    <t xml:space="preserve">SP31105</t>
  </si>
  <si>
    <t xml:space="preserve">SPECTRUM SP31105 97CM TOWED LAWN &amp; LEAF SWEEPER</t>
  </si>
  <si>
    <t xml:space="preserve">2T0515403/CAS</t>
  </si>
  <si>
    <t xml:space="preserve">MOUNTFIELD MTF 98M SD SIDE-DISCHARGE LAWN TRACTOR</t>
  </si>
  <si>
    <t xml:space="preserve">HRM1000</t>
  </si>
  <si>
    <t xml:space="preserve">HONDA HRM1000 MIIMO ROBOTIC MOWER</t>
  </si>
  <si>
    <t xml:space="preserve">TG561-SWT-AMZ</t>
  </si>
  <si>
    <t xml:space="preserve">SPECTRUM TG561-SWT WHEELED TRIMMER - AMAZON FULFILLED
</t>
  </si>
  <si>
    <t xml:space="preserve">HRM2500 LIVE</t>
  </si>
  <si>
    <t xml:space="preserve">HONDA MIIMO HRM2500 LIVE ROBOTIC MOWER</t>
  </si>
  <si>
    <t xml:space="preserve">HRG416C1SK</t>
  </si>
  <si>
    <t xml:space="preserve">HONDA IZY HRG 416 SK PETROL LAWN MOWER</t>
  </si>
  <si>
    <t xml:space="preserve">2T0510404/A22</t>
  </si>
  <si>
    <t xml:space="preserve">ALPINA AT3 98 A SIDE DISCHARGE RIDE ON MOWER</t>
  </si>
  <si>
    <t xml:space="preserve">TY7000H</t>
  </si>
  <si>
    <t xml:space="preserve">SPECTRUM TY7000H 7 TONNE LOG SPLITTER</t>
  </si>
  <si>
    <t xml:space="preserve">WH20XT</t>
  </si>
  <si>
    <t xml:space="preserve">HONDA WH20XT 2" WATER PUMP</t>
  </si>
  <si>
    <t xml:space="preserve">TG50-UTILITY-AMZ</t>
  </si>
  <si>
    <t xml:space="preserve">SPECTRUM TG50-UTILITY - AMAZON FULFILLED</t>
  </si>
  <si>
    <t xml:space="preserve">TG50-UTILITY</t>
  </si>
  <si>
    <t xml:space="preserve">SPECTRUM TG50-UTILITY LAWNMOWER</t>
  </si>
  <si>
    <t xml:space="preserve">2T0210481/ST2</t>
  </si>
  <si>
    <t xml:space="preserve">STIGA COMBI 372 RIDE-ON MOWER</t>
  </si>
  <si>
    <t xml:space="preserve">HRH536K4HX</t>
  </si>
  <si>
    <t xml:space="preserve">HONDA HRH 536 HX SELF-PROPELLED PETROL LAWN MOWER</t>
  </si>
  <si>
    <t xml:space="preserve">2T0210483/M22</t>
  </si>
  <si>
    <t xml:space="preserve">MOUNTFIELD 1328H COMPACT REAR-COLLECT RIDE-ON MOWER WITH HYDROSTATIC DRIVE</t>
  </si>
  <si>
    <t xml:space="preserve">TS40</t>
  </si>
  <si>
    <t xml:space="preserve">HARRY PETROL AERATOR SCARIFIER</t>
  </si>
  <si>
    <t xml:space="preserve">QG20P</t>
  </si>
  <si>
    <t xml:space="preserve">SPECTRUM QG20P HAND PROPELLED LAWNMOWER - 196CC ENGINE</t>
  </si>
  <si>
    <t xml:space="preserve">294519043/M22</t>
  </si>
  <si>
    <t xml:space="preserve">MOUNTFIELD SP505R V VARIABLE SPEED PETROL REAR-ROLLER LAWNMOWER</t>
  </si>
  <si>
    <t xml:space="preserve">HRD536K4QX</t>
  </si>
  <si>
    <t xml:space="preserve">HONDA HRD 536 QX SELF-PROPELLED REAR ROLLER PETROL LAWN MOWER</t>
  </si>
  <si>
    <t xml:space="preserve">HRX537HY</t>
  </si>
  <si>
    <t xml:space="preserve">HONDA HRX537HY VARIABLE SPEED LAWNMOWER</t>
  </si>
  <si>
    <t xml:space="preserve">2R7101528/UKS</t>
  </si>
  <si>
    <t xml:space="preserve">STIGA A8 AUTOMATIC ROBOT LAWN MOWER</t>
  </si>
  <si>
    <t xml:space="preserve">CS-310ES/35</t>
  </si>
  <si>
    <t xml:space="preserve">ECHO CS-310ES/35 PEROL CHAINSAW 14" 30CC"</t>
  </si>
  <si>
    <t xml:space="preserve">297411043/M21</t>
  </si>
  <si>
    <t xml:space="preserve">MOUNTFIELD HP41 HAND PROPELLED PETROL LAWNMOWER</t>
  </si>
  <si>
    <t xml:space="preserve">EU10I</t>
  </si>
  <si>
    <t xml:space="preserve">HONDA EU10I PETROL GENERATOR</t>
  </si>
  <si>
    <t xml:space="preserve">TY5-7STAND</t>
  </si>
  <si>
    <t xml:space="preserve">SPECTRUM LOG SPLITTER STAND FOR 5T AND 7T LOG SPLITTERS</t>
  </si>
  <si>
    <t xml:space="preserve">HRG466C1PK</t>
  </si>
  <si>
    <t xml:space="preserve">HONDA IZY HRG 466 PK PETROL LAWN MOWER</t>
  </si>
  <si>
    <t xml:space="preserve">DM26L</t>
  </si>
  <si>
    <t xml:space="preserve">SPECTRUM DM26L PETROL BRUSHCUTTER</t>
  </si>
  <si>
    <t xml:space="preserve">2R7102028/UKS</t>
  </si>
  <si>
    <t xml:space="preserve">STIGA A1500 AUTOMATIC ROBOT LAWN MOWER</t>
  </si>
  <si>
    <t xml:space="preserve">HRX476C2VY</t>
  </si>
  <si>
    <t xml:space="preserve">HONDA HRX 476 VY SELF-PROPELLED PETROL LAWN MOWER</t>
  </si>
  <si>
    <t xml:space="preserve">FBT420</t>
  </si>
  <si>
    <t xml:space="preserve">FEIDER FBT420 PETROL CHIPPER SHREDDER</t>
  </si>
  <si>
    <t xml:space="preserve">DM26PBV-AMZ</t>
  </si>
  <si>
    <t xml:space="preserve">SPECTRUM DM26PBV BLOWER VAC - AMAZON FULFILLED</t>
  </si>
  <si>
    <t xml:space="preserve">2T2110447/AT2</t>
  </si>
  <si>
    <t xml:space="preserve">ATCO GT 30H REAR-COLLECT LAWN TRACTOR WITH HYDROSTATIC DRIVE</t>
  </si>
  <si>
    <t xml:space="preserve">EU32I</t>
  </si>
  <si>
    <t xml:space="preserve">Honda EU32i Petrol Inverter Generator</t>
  </si>
  <si>
    <t xml:space="preserve">TY7000SW</t>
  </si>
  <si>
    <t xml:space="preserve">SPECTRUM TY7000SW PETROL SWEEPER</t>
  </si>
  <si>
    <t xml:space="preserve">HRH536K4QX</t>
  </si>
  <si>
    <t xml:space="preserve">HONDA HRH 536 QX SELF-PROPELLED REAR ROLLER PETROL LAWN MOWER</t>
  </si>
  <si>
    <t xml:space="preserve">TY5000H</t>
  </si>
  <si>
    <t xml:space="preserve">SPECTRUM TY5000H 5 TONNE LOG SPLITTER</t>
  </si>
  <si>
    <t xml:space="preserve">HRD536K4HX</t>
  </si>
  <si>
    <t xml:space="preserve">HONDA HRD 536 HX PRO SELF-PROPRELLED PETRO LAWN MOWER</t>
  </si>
  <si>
    <t xml:space="preserve">DM26C</t>
  </si>
  <si>
    <t xml:space="preserve">SPECTRUM DM26C CURVED-SHALF PETROLGRASS-TRIMMER</t>
  </si>
  <si>
    <t xml:space="preserve">HRN536C2VY</t>
  </si>
  <si>
    <t xml:space="preserve">HONDA HRN536VY LAWNMOWER - BBC</t>
  </si>
  <si>
    <t xml:space="preserve">EG4500</t>
  </si>
  <si>
    <t xml:space="preserve">Honda EG4500 4.5KW / 4500W Petrol Generator</t>
  </si>
  <si>
    <t xml:space="preserve">GNP560-WT</t>
  </si>
  <si>
    <t xml:space="preserve">SPECTRUM GNP560-WT WHEELED TRIMMER</t>
  </si>
  <si>
    <t xml:space="preserve">HRG416PK</t>
  </si>
  <si>
    <t xml:space="preserve">HONDA IZY HRG 416 PK PETROL LAWN MOWER</t>
  </si>
  <si>
    <t xml:space="preserve">HCA-265ES-HD</t>
  </si>
  <si>
    <t xml:space="preserve">ECHO HCA-265ES-HD LONG REACH ARTICULATING HEDGETRIMMER</t>
  </si>
  <si>
    <t xml:space="preserve">SP45103</t>
  </si>
  <si>
    <t xml:space="preserve">Spectrum SP45103 36" Towed Steel Lawn Roller"</t>
  </si>
  <si>
    <t xml:space="preserve">HRM1500</t>
  </si>
  <si>
    <t xml:space="preserve">HONDA HRM1500 MIIMO ROBOT MOWER</t>
  </si>
  <si>
    <t xml:space="preserve">2T0053404/A22</t>
  </si>
  <si>
    <t xml:space="preserve">ALPINA AT2 66 QA PETROL GARDEN TRACTOR</t>
  </si>
  <si>
    <t xml:space="preserve">SP22111-4</t>
  </si>
  <si>
    <t xml:space="preserve">SPECTRUM SP22111-4 181KG POLY TIPPING CART</t>
  </si>
  <si>
    <t xml:space="preserve">SP22124</t>
  </si>
  <si>
    <t xml:space="preserve">SPECTRUM SP22124 227kg CAPACITY STEEL TRAILER</t>
  </si>
  <si>
    <t xml:space="preserve">CS-4310SX</t>
  </si>
  <si>
    <t xml:space="preserve">ECHO CS4310SX PETROL CHAINSAW (33cm BAR)</t>
  </si>
  <si>
    <t xml:space="preserve">HC-2320</t>
  </si>
  <si>
    <t xml:space="preserve">ECHO HC-2320 EXTRA-LONG DOUBLE BLADE HEDGETRIMMER</t>
  </si>
  <si>
    <t xml:space="preserve">SP22125</t>
  </si>
  <si>
    <t xml:space="preserve">SPECTRUM SP22125 408KG HIGH-SIDED STEEL TIPPING TRAILER</t>
  </si>
  <si>
    <t xml:space="preserve">WB20XT</t>
  </si>
  <si>
    <t xml:space="preserve">HONDA WB20XT WATER PUMP - 2" TRASH</t>
  </si>
  <si>
    <t xml:space="preserve">UMS 425 LN</t>
  </si>
  <si>
    <t xml:space="preserve">HONDA UMS 425 LN CURVED SHAFT STRIMMER - 4 STROKE</t>
  </si>
  <si>
    <t xml:space="preserve">UMC425E</t>
  </si>
  <si>
    <t xml:space="preserve">HONDA VERSATOOL UMC425 MULTI TOOL</t>
  </si>
  <si>
    <t xml:space="preserve">CS-2511TES/25</t>
  </si>
  <si>
    <t xml:space="preserve">ECHO CS-2511TES/25 CHAINSAW</t>
  </si>
  <si>
    <t xml:space="preserve">WX10T</t>
  </si>
  <si>
    <t xml:space="preserve">HONDA WX10TEI WATER PUMP 1INCH</t>
  </si>
  <si>
    <t xml:space="preserve">HRN536C2VK</t>
  </si>
  <si>
    <t xml:space="preserve">HONDA HRN 536 VK SELF-PROPELLED PETROL LAWN MOWER</t>
  </si>
  <si>
    <t xml:space="preserve">DM26H</t>
  </si>
  <si>
    <t xml:space="preserve">SPECTRUM DM26H PETROL BRUSHCUTTER</t>
  </si>
  <si>
    <t xml:space="preserve">ES-250ES</t>
  </si>
  <si>
    <t xml:space="preserve">ECHO ES-250ES SHRED 'N' VAC LEAF BLOWER &amp; VACCUM</t>
  </si>
  <si>
    <t xml:space="preserve">FG201</t>
  </si>
  <si>
    <t xml:space="preserve">HONDA FG201 PETROL TILLER</t>
  </si>
  <si>
    <t xml:space="preserve">HRX476XB</t>
  </si>
  <si>
    <t xml:space="preserve">HONDA HRX 476 XB CORDLESS LAWNMOWER</t>
  </si>
  <si>
    <t xml:space="preserve">CS-501SX/45</t>
  </si>
  <si>
    <t xml:space="preserve">ECHO CS-501SX CHAINSAW 18""</t>
  </si>
  <si>
    <t xml:space="preserve">HRG466C1SK</t>
  </si>
  <si>
    <t xml:space="preserve">HONDA IZY HRG 466 SK SELF-PROPELLED PETROL LAWN MOWER</t>
  </si>
  <si>
    <t xml:space="preserve">HHH25S75ET</t>
  </si>
  <si>
    <t xml:space="preserve">HONDA HHH25S 75ET PETROL HEDGETRIMMER</t>
  </si>
  <si>
    <t xml:space="preserve">HHH 25D 75E</t>
  </si>
  <si>
    <t xml:space="preserve">HONDA HHH 25D 75E DOUBLE SIDED PETROL HEDGE CUTTER 4 STROKE</t>
  </si>
  <si>
    <t xml:space="preserve">WBVAC</t>
  </si>
  <si>
    <t xml:space="preserve">WEBB WBVAC  58CM WALK-BEHIND VACUUM &amp; BLOWER</t>
  </si>
  <si>
    <t xml:space="preserve">FHT22</t>
  </si>
  <si>
    <t xml:space="preserve">FEIDER FHT22 PETROL HEDGETRIMMER (60CM BLADES)</t>
  </si>
  <si>
    <t xml:space="preserve">HCR-165ES</t>
  </si>
  <si>
    <t xml:space="preserve">ECHO HCR-165ES DOUBLE SIDED PETROL HEDGE TRIMMER 25" / 64CM</t>
  </si>
  <si>
    <t xml:space="preserve">FTRTPRO40</t>
  </si>
  <si>
    <t xml:space="preserve">FEIDER FTRTPRO40 CHAINSAW</t>
  </si>
  <si>
    <t xml:space="preserve">UMK425E2LE</t>
  </si>
  <si>
    <t xml:space="preserve">HONDA UMK 425 LE 4-STROKE BRUSHCUTTER</t>
  </si>
  <si>
    <t xml:space="preserve">HCR-185ES</t>
  </si>
  <si>
    <t xml:space="preserve">ECHO HCR-185ES TWIN BLADE HEDGECUTTER</t>
  </si>
  <si>
    <t xml:space="preserve">SRM-2621TESU</t>
  </si>
  <si>
    <t xml:space="preserve">ECHO SRM-2621TESU 25.4CC HORN HANDLE BRUSHCUTTER</t>
  </si>
  <si>
    <t xml:space="preserve">ECHO CS-4510ES CHAINSAW 18""</t>
  </si>
  <si>
    <t xml:space="preserve">PB-2520</t>
  </si>
  <si>
    <t xml:space="preserve">ECHO PB-2520 2-STROKE HANDHELD BLOWER</t>
  </si>
  <si>
    <t xml:space="preserve">SSBCE</t>
  </si>
  <si>
    <t xml:space="preserve">HONDA SSBCE BRUSHCUTTER ATTACHMENT - VERSATOOL</t>
  </si>
  <si>
    <t xml:space="preserve">SRM-237TESU</t>
  </si>
  <si>
    <t xml:space="preserve">ECHO SRM-237TESU HORN HANDLE BRUSHCUTTER 21.2CC</t>
  </si>
  <si>
    <t xml:space="preserve">WEPS400</t>
  </si>
  <si>
    <t xml:space="preserve">WEBB WEPS400 16" PETROL SCARIFIER &amp; RAKE</t>
  </si>
  <si>
    <t xml:space="preserve">RAC52BPB</t>
  </si>
  <si>
    <t xml:space="preserve">RACING 52BPB-2 PETROL BACKPACK BLOWER</t>
  </si>
  <si>
    <t xml:space="preserve">DM26PB</t>
  </si>
  <si>
    <t xml:space="preserve">SPECTRUM DM26PB PETROL LEAF BLOWER</t>
  </si>
  <si>
    <t xml:space="preserve">Gross</t>
  </si>
  <si>
    <t xml:space="preserve">Net</t>
  </si>
  <si>
    <t xml:space="preserve">Marketig</t>
  </si>
  <si>
    <t xml:space="preserve">Freight</t>
  </si>
  <si>
    <t xml:space="preserve">Salary</t>
  </si>
  <si>
    <t xml:space="preserve">fixed costs</t>
  </si>
  <si>
    <t xml:space="preserve">Finance</t>
  </si>
  <si>
    <t xml:space="preserve">Total costs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</si>
</sst>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£-809]#,##0.00;[RED]\-[$£-809]#,##0.00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B86" activeCellId="0" sqref="B86"/>
    </sheetView>
  </sheetViews>
  <sheetFormatPr defaultColWidth="10.90234375" defaultRowHeight="17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1" width="90.12"/>
    <col collapsed="false" customWidth="false" hidden="true" outlineLevel="0" max="8" min="6" style="1" width="10.9"/>
    <col collapsed="false" customWidth="true" hidden="false" outlineLevel="0" max="9" min="9" style="2" width="14.51"/>
    <col collapsed="false" customWidth="true" hidden="false" outlineLevel="0" max="11" min="11" style="2" width="16.49"/>
  </cols>
  <sheetData>
    <row r="1" customFormat="false" ht="16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  <c r="K1" s="2" t="s">
        <v>8</v>
      </c>
    </row>
    <row r="2" customFormat="false" ht="17" hidden="false" customHeight="false" outlineLevel="0" collapsed="false">
      <c r="A2" s="1" t="s">
        <v>9</v>
      </c>
      <c r="B2" s="1" t="s">
        <v>10</v>
      </c>
      <c r="C2" s="1" t="n">
        <v>31</v>
      </c>
      <c r="D2" s="1" t="n">
        <v>156</v>
      </c>
      <c r="E2" s="1" t="n">
        <v>864</v>
      </c>
      <c r="F2" s="1" t="n">
        <v>1799.17</v>
      </c>
      <c r="G2" s="1" t="n">
        <v>280670.52</v>
      </c>
      <c r="I2" s="2" t="n">
        <f aca="false">1799/1.2</f>
        <v>1499.16666666667</v>
      </c>
      <c r="K2" s="2" t="n">
        <f aca="false">I2*1.2</f>
        <v>1799</v>
      </c>
    </row>
    <row r="3" customFormat="false" ht="17" hidden="false" customHeight="false" outlineLevel="0" collapsed="false">
      <c r="A3" s="1" t="s">
        <v>11</v>
      </c>
      <c r="B3" s="1" t="s">
        <v>12</v>
      </c>
      <c r="C3" s="1" t="n">
        <v>31</v>
      </c>
      <c r="D3" s="1" t="n">
        <v>182</v>
      </c>
      <c r="E3" s="1" t="n">
        <v>702</v>
      </c>
      <c r="F3" s="1" t="n">
        <v>1440.83</v>
      </c>
      <c r="G3" s="1" t="n">
        <v>262231.06</v>
      </c>
      <c r="I3" s="2" t="n">
        <f aca="false">1399.95/1.2</f>
        <v>1166.625</v>
      </c>
      <c r="K3" s="2" t="n">
        <f aca="false">I3*1.2</f>
        <v>1399.95</v>
      </c>
    </row>
    <row r="4" customFormat="false" ht="17" hidden="false" customHeight="false" outlineLevel="0" collapsed="false">
      <c r="A4" s="1" t="s">
        <v>13</v>
      </c>
      <c r="B4" s="1" t="s">
        <v>14</v>
      </c>
      <c r="C4" s="1" t="n">
        <v>31</v>
      </c>
      <c r="D4" s="1" t="n">
        <v>11</v>
      </c>
      <c r="E4" s="1" t="n">
        <v>2245</v>
      </c>
      <c r="F4" s="1" t="n">
        <v>3699</v>
      </c>
      <c r="G4" s="1" t="n">
        <v>40689</v>
      </c>
      <c r="I4" s="2" t="n">
        <f aca="false">3499/1.2</f>
        <v>2915.83333333333</v>
      </c>
      <c r="K4" s="2" t="n">
        <f aca="false">I4*1.2</f>
        <v>3499</v>
      </c>
    </row>
    <row r="5" customFormat="false" ht="17" hidden="false" customHeight="false" outlineLevel="0" collapsed="false">
      <c r="A5" s="1" t="s">
        <v>15</v>
      </c>
      <c r="B5" s="1" t="s">
        <v>16</v>
      </c>
      <c r="C5" s="1" t="n">
        <v>26</v>
      </c>
      <c r="D5" s="1" t="n">
        <v>41</v>
      </c>
      <c r="E5" s="1" t="n">
        <v>530.15</v>
      </c>
      <c r="F5" s="1" t="n">
        <v>1308.29</v>
      </c>
      <c r="G5" s="1" t="n">
        <v>53639.89</v>
      </c>
      <c r="I5" s="2" t="n">
        <f aca="false">1299.95/1.2</f>
        <v>1083.29166666667</v>
      </c>
      <c r="K5" s="2" t="n">
        <f aca="false">I5*1.2</f>
        <v>1299.95</v>
      </c>
    </row>
    <row r="6" customFormat="false" ht="17" hidden="false" customHeight="false" outlineLevel="0" collapsed="false">
      <c r="A6" s="1" t="s">
        <v>17</v>
      </c>
      <c r="B6" s="1" t="s">
        <v>18</v>
      </c>
      <c r="C6" s="1" t="n">
        <v>26</v>
      </c>
      <c r="D6" s="1" t="n">
        <v>821</v>
      </c>
      <c r="E6" s="1" t="n">
        <v>24.25</v>
      </c>
      <c r="F6" s="1" t="n">
        <v>59.95</v>
      </c>
      <c r="G6" s="1" t="n">
        <v>49218.95</v>
      </c>
      <c r="I6" s="2" t="n">
        <f aca="false">E6/40*100</f>
        <v>60.625</v>
      </c>
      <c r="K6" s="2" t="n">
        <f aca="false">I6*1.2</f>
        <v>72.75</v>
      </c>
    </row>
    <row r="7" customFormat="false" ht="17" hidden="false" customHeight="false" outlineLevel="0" collapsed="false">
      <c r="A7" s="1" t="s">
        <v>19</v>
      </c>
      <c r="B7" s="1" t="s">
        <v>20</v>
      </c>
      <c r="C7" s="1" t="n">
        <v>26</v>
      </c>
      <c r="D7" s="1" t="n">
        <v>155</v>
      </c>
      <c r="E7" s="1" t="n">
        <v>123.74</v>
      </c>
      <c r="F7" s="1" t="n">
        <v>333.29</v>
      </c>
      <c r="G7" s="1" t="n">
        <v>51659.95</v>
      </c>
      <c r="I7" s="2" t="n">
        <f aca="false">339.95/1.2</f>
        <v>283.291666666667</v>
      </c>
      <c r="K7" s="2" t="n">
        <f aca="false">I7*1.2</f>
        <v>339.95</v>
      </c>
    </row>
    <row r="8" customFormat="false" ht="17" hidden="false" customHeight="false" outlineLevel="0" collapsed="false">
      <c r="A8" s="1" t="s">
        <v>21</v>
      </c>
      <c r="B8" s="1" t="s">
        <v>22</v>
      </c>
      <c r="C8" s="1" t="n">
        <v>26</v>
      </c>
      <c r="D8" s="1" t="n">
        <v>86</v>
      </c>
      <c r="E8" s="1" t="n">
        <v>204.62</v>
      </c>
      <c r="F8" s="1" t="n">
        <v>458.29</v>
      </c>
      <c r="G8" s="1" t="n">
        <v>39412.94</v>
      </c>
      <c r="I8" s="2" t="n">
        <f aca="false">399.95/1.2</f>
        <v>333.291666666667</v>
      </c>
      <c r="K8" s="2" t="n">
        <f aca="false">I8*1.2</f>
        <v>399.95</v>
      </c>
    </row>
    <row r="9" customFormat="false" ht="17" hidden="false" customHeight="false" outlineLevel="0" collapsed="false">
      <c r="A9" s="1" t="s">
        <v>23</v>
      </c>
      <c r="B9" s="1" t="s">
        <v>24</v>
      </c>
      <c r="C9" s="1" t="n">
        <v>26</v>
      </c>
      <c r="D9" s="1" t="n">
        <v>86</v>
      </c>
      <c r="E9" s="1" t="n">
        <v>193.66</v>
      </c>
      <c r="F9" s="1" t="n">
        <v>649.95</v>
      </c>
      <c r="G9" s="1" t="n">
        <v>55895.7</v>
      </c>
      <c r="I9" s="2" t="n">
        <f aca="false">369.95/1.2</f>
        <v>308.291666666667</v>
      </c>
      <c r="K9" s="2" t="n">
        <f aca="false">I9*1.2</f>
        <v>369.95</v>
      </c>
    </row>
    <row r="10" customFormat="false" ht="17" hidden="false" customHeight="false" outlineLevel="0" collapsed="false">
      <c r="A10" s="1" t="s">
        <v>25</v>
      </c>
      <c r="B10" s="1" t="s">
        <v>26</v>
      </c>
      <c r="C10" s="1" t="n">
        <v>26</v>
      </c>
      <c r="D10" s="1" t="n">
        <v>126</v>
      </c>
      <c r="E10" s="1" t="n">
        <v>126.92</v>
      </c>
      <c r="F10" s="1" t="n">
        <v>416.63</v>
      </c>
      <c r="G10" s="1" t="n">
        <v>52495.38</v>
      </c>
      <c r="I10" s="2" t="n">
        <f aca="false">379.95/1.2</f>
        <v>316.625</v>
      </c>
      <c r="K10" s="2" t="n">
        <f aca="false">I10*1.2</f>
        <v>379.95</v>
      </c>
    </row>
    <row r="11" customFormat="false" ht="17" hidden="false" customHeight="false" outlineLevel="0" collapsed="false">
      <c r="A11" s="1" t="s">
        <v>27</v>
      </c>
      <c r="B11" s="1" t="s">
        <v>28</v>
      </c>
      <c r="C11" s="1" t="n">
        <v>26</v>
      </c>
      <c r="D11" s="1" t="n">
        <v>98</v>
      </c>
      <c r="E11" s="1" t="n">
        <v>137.69</v>
      </c>
      <c r="F11" s="1" t="n">
        <v>499.96</v>
      </c>
      <c r="G11" s="1" t="n">
        <v>48996.08</v>
      </c>
      <c r="I11" s="2" t="n">
        <f aca="false">499.95/1.2</f>
        <v>416.625</v>
      </c>
      <c r="K11" s="2" t="n">
        <f aca="false">I11*1.2</f>
        <v>499.95</v>
      </c>
    </row>
    <row r="12" customFormat="false" ht="16" hidden="false" customHeight="true" outlineLevel="0" collapsed="false">
      <c r="A12" s="1" t="s">
        <v>29</v>
      </c>
      <c r="B12" s="3" t="s">
        <v>30</v>
      </c>
      <c r="C12" s="1" t="n">
        <v>26</v>
      </c>
      <c r="D12" s="1" t="n">
        <v>15</v>
      </c>
      <c r="E12" s="1" t="n">
        <v>895.97</v>
      </c>
      <c r="F12" s="1" t="n">
        <v>1916.63</v>
      </c>
      <c r="G12" s="1" t="n">
        <v>28749.45</v>
      </c>
      <c r="I12" s="2" t="n">
        <f aca="false">1799.95/1.2</f>
        <v>1499.95833333333</v>
      </c>
      <c r="K12" s="2" t="n">
        <f aca="false">I12*1.2</f>
        <v>1799.95</v>
      </c>
    </row>
    <row r="13" customFormat="false" ht="17" hidden="false" customHeight="false" outlineLevel="0" collapsed="false">
      <c r="A13" s="1" t="s">
        <v>31</v>
      </c>
      <c r="B13" s="1" t="s">
        <v>32</v>
      </c>
      <c r="C13" s="1" t="n">
        <v>26</v>
      </c>
      <c r="D13" s="1" t="n">
        <v>95</v>
      </c>
      <c r="E13" s="1" t="n">
        <v>136.92</v>
      </c>
      <c r="F13" s="1" t="n">
        <v>429.95</v>
      </c>
      <c r="G13" s="1" t="n">
        <v>40845.25</v>
      </c>
      <c r="I13" s="2" t="n">
        <f aca="false">399.95/1.2</f>
        <v>333.291666666667</v>
      </c>
      <c r="K13" s="2" t="n">
        <f aca="false">I13*1.2</f>
        <v>399.95</v>
      </c>
    </row>
    <row r="14" customFormat="false" ht="17" hidden="false" customHeight="false" outlineLevel="0" collapsed="false">
      <c r="A14" s="1" t="s">
        <v>33</v>
      </c>
      <c r="B14" s="1" t="s">
        <v>34</v>
      </c>
      <c r="C14" s="1" t="n">
        <v>26</v>
      </c>
      <c r="D14" s="1" t="n">
        <v>97</v>
      </c>
      <c r="E14" s="1" t="n">
        <v>123.81</v>
      </c>
      <c r="F14" s="1" t="n">
        <v>374.96</v>
      </c>
      <c r="G14" s="1" t="n">
        <v>36371.12</v>
      </c>
      <c r="I14" s="2" t="n">
        <f aca="false">349.95/1.2</f>
        <v>291.625</v>
      </c>
      <c r="K14" s="2" t="n">
        <f aca="false">I14*1.2</f>
        <v>349.95</v>
      </c>
    </row>
    <row r="15" customFormat="false" ht="17" hidden="false" customHeight="false" outlineLevel="0" collapsed="false">
      <c r="A15" s="1" t="s">
        <v>35</v>
      </c>
      <c r="B15" s="1" t="s">
        <v>36</v>
      </c>
      <c r="C15" s="1" t="n">
        <v>81</v>
      </c>
      <c r="D15" s="1" t="n">
        <v>3</v>
      </c>
      <c r="E15" s="1" t="n">
        <v>3933</v>
      </c>
      <c r="F15" s="1" t="n">
        <v>4632.5</v>
      </c>
      <c r="G15" s="1" t="n">
        <v>13897.5</v>
      </c>
      <c r="I15" s="2" t="n">
        <f aca="false">5599/1.2</f>
        <v>4665.83333333333</v>
      </c>
      <c r="K15" s="2" t="n">
        <f aca="false">I15*1.2</f>
        <v>5599</v>
      </c>
    </row>
    <row r="16" customFormat="false" ht="17" hidden="false" customHeight="false" outlineLevel="0" collapsed="false">
      <c r="A16" s="1" t="s">
        <v>37</v>
      </c>
      <c r="B16" s="1" t="s">
        <v>38</v>
      </c>
      <c r="C16" s="1" t="n">
        <v>26</v>
      </c>
      <c r="D16" s="1" t="n">
        <v>100</v>
      </c>
      <c r="E16" s="1" t="n">
        <v>113.07</v>
      </c>
      <c r="F16" s="1" t="n">
        <v>349.95</v>
      </c>
      <c r="G16" s="1" t="n">
        <v>34995</v>
      </c>
      <c r="I16" s="2" t="n">
        <f aca="false">369.95/1.2</f>
        <v>308.291666666667</v>
      </c>
      <c r="K16" s="2" t="n">
        <f aca="false">I16*1.2</f>
        <v>369.95</v>
      </c>
    </row>
    <row r="17" customFormat="false" ht="17" hidden="false" customHeight="false" outlineLevel="0" collapsed="false">
      <c r="A17" s="1" t="s">
        <v>39</v>
      </c>
      <c r="B17" s="1" t="s">
        <v>40</v>
      </c>
      <c r="C17" s="1" t="n">
        <v>26</v>
      </c>
      <c r="D17" s="1" t="n">
        <v>240</v>
      </c>
      <c r="E17" s="1" t="n">
        <v>44.8</v>
      </c>
      <c r="F17" s="1" t="n">
        <v>228.95</v>
      </c>
      <c r="G17" s="1" t="n">
        <v>54948</v>
      </c>
      <c r="I17" s="2" t="n">
        <f aca="false">139.95/1.2</f>
        <v>116.625</v>
      </c>
      <c r="K17" s="2" t="n">
        <f aca="false">I17*1.2</f>
        <v>139.95</v>
      </c>
    </row>
    <row r="18" customFormat="false" ht="17" hidden="false" customHeight="false" outlineLevel="0" collapsed="false">
      <c r="A18" s="1" t="s">
        <v>41</v>
      </c>
      <c r="B18" s="1" t="s">
        <v>42</v>
      </c>
      <c r="C18" s="1" t="n">
        <v>30</v>
      </c>
      <c r="D18" s="1" t="n">
        <v>6</v>
      </c>
      <c r="E18" s="1" t="n">
        <v>1774.03</v>
      </c>
      <c r="F18" s="1" t="n">
        <v>2999.17</v>
      </c>
      <c r="G18" s="1" t="n">
        <v>17995.02</v>
      </c>
      <c r="I18" s="2" t="n">
        <f aca="false">2899.95/1.2</f>
        <v>2416.625</v>
      </c>
      <c r="K18" s="2" t="n">
        <f aca="false">I18*1.2</f>
        <v>2899.95</v>
      </c>
    </row>
    <row r="19" customFormat="false" ht="17" hidden="false" customHeight="false" outlineLevel="0" collapsed="false">
      <c r="A19" s="1" t="s">
        <v>43</v>
      </c>
      <c r="B19" s="1" t="s">
        <v>44</v>
      </c>
      <c r="C19" s="1" t="n">
        <v>63</v>
      </c>
      <c r="D19" s="1" t="n">
        <v>2</v>
      </c>
      <c r="E19" s="1" t="n">
        <v>5144</v>
      </c>
      <c r="F19" s="1" t="n">
        <v>948.99</v>
      </c>
      <c r="G19" s="1" t="n">
        <v>1897.98</v>
      </c>
      <c r="I19" s="2" t="n">
        <f aca="false">809/1.2</f>
        <v>674.166666666667</v>
      </c>
      <c r="K19" s="2" t="n">
        <f aca="false">I19*1.2</f>
        <v>809</v>
      </c>
    </row>
    <row r="20" customFormat="false" ht="17" hidden="false" customHeight="false" outlineLevel="0" collapsed="false">
      <c r="A20" s="1" t="s">
        <v>45</v>
      </c>
      <c r="B20" s="1" t="s">
        <v>46</v>
      </c>
      <c r="C20" s="1" t="n">
        <v>26</v>
      </c>
      <c r="D20" s="1" t="n">
        <v>225</v>
      </c>
      <c r="E20" s="1" t="n">
        <v>44.53</v>
      </c>
      <c r="F20" s="1" t="n">
        <v>119.95</v>
      </c>
      <c r="G20" s="1" t="n">
        <v>26988.75</v>
      </c>
      <c r="I20" s="2" t="n">
        <f aca="false">139.95/1.2</f>
        <v>116.625</v>
      </c>
      <c r="K20" s="2" t="n">
        <f aca="false">I20*1.2</f>
        <v>139.95</v>
      </c>
    </row>
    <row r="21" customFormat="false" ht="17" hidden="false" customHeight="false" outlineLevel="0" collapsed="false">
      <c r="A21" s="1" t="s">
        <v>47</v>
      </c>
      <c r="B21" s="1" t="s">
        <v>48</v>
      </c>
      <c r="C21" s="1" t="n">
        <v>81</v>
      </c>
      <c r="D21" s="1" t="n">
        <v>10</v>
      </c>
      <c r="E21" s="1" t="n">
        <v>796.38</v>
      </c>
      <c r="F21" s="1" t="n">
        <v>1091.67</v>
      </c>
      <c r="G21" s="1" t="n">
        <v>10916.7</v>
      </c>
      <c r="I21" s="2" t="n">
        <f aca="false">1049/1.2</f>
        <v>874.166666666667</v>
      </c>
      <c r="K21" s="2" t="n">
        <f aca="false">I21*1.2</f>
        <v>1049</v>
      </c>
    </row>
    <row r="22" customFormat="false" ht="17" hidden="false" customHeight="false" outlineLevel="0" collapsed="false">
      <c r="A22" s="1" t="s">
        <v>49</v>
      </c>
      <c r="B22" s="1" t="s">
        <v>50</v>
      </c>
      <c r="C22" s="1" t="n">
        <v>32</v>
      </c>
      <c r="D22" s="1" t="n">
        <v>3</v>
      </c>
      <c r="E22" s="1" t="n">
        <v>2635</v>
      </c>
      <c r="F22" s="1" t="n">
        <v>4999</v>
      </c>
      <c r="G22" s="1" t="n">
        <v>14997</v>
      </c>
      <c r="I22" s="2" t="n">
        <f aca="false">4179/1.2</f>
        <v>3482.5</v>
      </c>
      <c r="K22" s="2" t="n">
        <f aca="false">I22*1.2</f>
        <v>4179</v>
      </c>
    </row>
    <row r="23" customFormat="false" ht="17" hidden="false" customHeight="false" outlineLevel="0" collapsed="false">
      <c r="A23" s="1" t="s">
        <v>51</v>
      </c>
      <c r="B23" s="1" t="s">
        <v>52</v>
      </c>
      <c r="C23" s="1" t="n">
        <v>31</v>
      </c>
      <c r="D23" s="1" t="n">
        <v>2</v>
      </c>
      <c r="E23" s="1" t="n">
        <v>3755</v>
      </c>
      <c r="F23" s="1" t="n">
        <v>6899</v>
      </c>
      <c r="G23" s="1" t="n">
        <v>13798</v>
      </c>
      <c r="I23" s="2" t="n">
        <f aca="false">6899/1.2</f>
        <v>5749.16666666667</v>
      </c>
      <c r="K23" s="2" t="n">
        <f aca="false">I23*1.2</f>
        <v>6899</v>
      </c>
    </row>
    <row r="24" customFormat="false" ht="17" hidden="false" customHeight="false" outlineLevel="0" collapsed="false">
      <c r="A24" s="1" t="s">
        <v>53</v>
      </c>
      <c r="B24" s="1" t="s">
        <v>54</v>
      </c>
      <c r="C24" s="1" t="n">
        <v>62</v>
      </c>
      <c r="D24" s="1" t="n">
        <v>5</v>
      </c>
      <c r="E24" s="1" t="n">
        <v>1449.9</v>
      </c>
      <c r="F24" s="1" t="n">
        <v>2699</v>
      </c>
      <c r="G24" s="1" t="n">
        <v>13495</v>
      </c>
      <c r="I24" s="2" t="n">
        <f aca="false">2299/1.2</f>
        <v>1915.83333333333</v>
      </c>
      <c r="K24" s="2" t="n">
        <f aca="false">I24*1.2</f>
        <v>2299</v>
      </c>
    </row>
    <row r="25" customFormat="false" ht="17" hidden="false" customHeight="false" outlineLevel="0" collapsed="false">
      <c r="A25" s="1" t="s">
        <v>55</v>
      </c>
      <c r="B25" s="1" t="s">
        <v>56</v>
      </c>
      <c r="C25" s="1" t="n">
        <v>81</v>
      </c>
      <c r="D25" s="1" t="n">
        <v>2</v>
      </c>
      <c r="E25" s="1" t="n">
        <v>3450</v>
      </c>
      <c r="F25" s="1" t="n">
        <v>5680</v>
      </c>
      <c r="G25" s="1" t="n">
        <v>11360</v>
      </c>
      <c r="I25" s="2" t="n">
        <f aca="false">4895/1.2</f>
        <v>4079.16666666667</v>
      </c>
      <c r="K25" s="2" t="n">
        <f aca="false">I25*1.2</f>
        <v>4895</v>
      </c>
    </row>
    <row r="26" customFormat="false" ht="17" hidden="false" customHeight="false" outlineLevel="0" collapsed="false">
      <c r="A26" s="1" t="s">
        <v>57</v>
      </c>
      <c r="B26" s="1" t="s">
        <v>58</v>
      </c>
      <c r="C26" s="1" t="n">
        <v>26</v>
      </c>
      <c r="D26" s="1" t="n">
        <v>40</v>
      </c>
      <c r="E26" s="1" t="n">
        <v>162.3</v>
      </c>
      <c r="F26" s="1" t="n">
        <v>599.95</v>
      </c>
      <c r="G26" s="1" t="n">
        <v>23998</v>
      </c>
      <c r="I26" s="2" t="n">
        <f aca="false">599.95/1.2</f>
        <v>499.958333333333</v>
      </c>
      <c r="K26" s="2" t="n">
        <f aca="false">I26*1.2</f>
        <v>599.95</v>
      </c>
    </row>
    <row r="27" customFormat="false" ht="17" hidden="false" customHeight="false" outlineLevel="0" collapsed="false">
      <c r="A27" s="1" t="s">
        <v>59</v>
      </c>
      <c r="B27" s="1" t="s">
        <v>60</v>
      </c>
      <c r="C27" s="1" t="n">
        <v>62</v>
      </c>
      <c r="D27" s="1" t="n">
        <v>5</v>
      </c>
      <c r="E27" s="1" t="n">
        <v>1296.9</v>
      </c>
      <c r="F27" s="1" t="n">
        <v>2200</v>
      </c>
      <c r="G27" s="1" t="n">
        <v>11000</v>
      </c>
      <c r="I27" s="2" t="n">
        <f aca="false">2099/1.2</f>
        <v>1749.16666666667</v>
      </c>
      <c r="K27" s="2" t="n">
        <f aca="false">I27*1.2</f>
        <v>2099</v>
      </c>
    </row>
    <row r="28" customFormat="false" ht="17" hidden="false" customHeight="false" outlineLevel="0" collapsed="false">
      <c r="A28" s="1" t="s">
        <v>61</v>
      </c>
      <c r="B28" s="1" t="s">
        <v>62</v>
      </c>
      <c r="C28" s="1" t="n">
        <v>81</v>
      </c>
      <c r="D28" s="1" t="n">
        <v>2</v>
      </c>
      <c r="E28" s="1" t="n">
        <v>3205.63</v>
      </c>
      <c r="F28" s="1" t="n">
        <v>5280</v>
      </c>
      <c r="G28" s="1" t="n">
        <v>10560</v>
      </c>
      <c r="I28" s="2" t="n">
        <f aca="false">4289/1.2</f>
        <v>3574.16666666667</v>
      </c>
      <c r="K28" s="2" t="n">
        <f aca="false">I28*1.2</f>
        <v>4289</v>
      </c>
    </row>
    <row r="29" customFormat="false" ht="17" hidden="false" customHeight="false" outlineLevel="0" collapsed="false">
      <c r="A29" s="1" t="s">
        <v>63</v>
      </c>
      <c r="B29" s="1" t="s">
        <v>64</v>
      </c>
      <c r="C29" s="1" t="n">
        <v>32</v>
      </c>
      <c r="D29" s="1" t="n">
        <v>2</v>
      </c>
      <c r="E29" s="1" t="n">
        <v>2962.38</v>
      </c>
      <c r="F29" s="1" t="n">
        <v>3915.83</v>
      </c>
      <c r="G29" s="1" t="n">
        <v>7831.66</v>
      </c>
      <c r="I29" s="2" t="n">
        <f aca="false">4699/1.2</f>
        <v>3915.83333333333</v>
      </c>
      <c r="K29" s="2" t="n">
        <f aca="false">I29*1.2</f>
        <v>4699</v>
      </c>
    </row>
    <row r="30" customFormat="false" ht="17" hidden="false" customHeight="false" outlineLevel="0" collapsed="false">
      <c r="A30" s="1" t="s">
        <v>65</v>
      </c>
      <c r="B30" s="1" t="s">
        <v>66</v>
      </c>
      <c r="C30" s="1" t="n">
        <v>32</v>
      </c>
      <c r="D30" s="1" t="n">
        <v>4</v>
      </c>
      <c r="E30" s="1" t="n">
        <v>1466.94</v>
      </c>
      <c r="F30" s="1" t="n">
        <v>2165.83</v>
      </c>
      <c r="G30" s="1" t="n">
        <v>8663.32</v>
      </c>
      <c r="I30" s="2" t="n">
        <f aca="false">1949/1.2</f>
        <v>1624.16666666667</v>
      </c>
      <c r="K30" s="2" t="n">
        <f aca="false">I30*1.2</f>
        <v>1949</v>
      </c>
    </row>
    <row r="31" customFormat="false" ht="17" hidden="false" customHeight="false" outlineLevel="0" collapsed="false">
      <c r="A31" s="1" t="s">
        <v>67</v>
      </c>
      <c r="B31" s="1" t="s">
        <v>68</v>
      </c>
      <c r="C31" s="1" t="n">
        <v>26</v>
      </c>
      <c r="D31" s="1" t="n">
        <v>42</v>
      </c>
      <c r="E31" s="1" t="n">
        <v>138.07</v>
      </c>
      <c r="F31" s="1" t="n">
        <v>399.95</v>
      </c>
      <c r="G31" s="1" t="n">
        <v>16797.9</v>
      </c>
      <c r="I31" s="2" t="n">
        <f aca="false">399.95/1.2</f>
        <v>333.291666666667</v>
      </c>
      <c r="K31" s="2" t="n">
        <f aca="false">I31*1.2</f>
        <v>399.95</v>
      </c>
    </row>
    <row r="32" customFormat="false" ht="17" hidden="false" customHeight="false" outlineLevel="0" collapsed="false">
      <c r="A32" s="1" t="n">
        <v>2691689</v>
      </c>
      <c r="B32" s="1" t="s">
        <v>69</v>
      </c>
      <c r="C32" s="1" t="n">
        <v>58</v>
      </c>
      <c r="D32" s="1" t="n">
        <v>1</v>
      </c>
      <c r="E32" s="1" t="n">
        <v>5310</v>
      </c>
      <c r="F32" s="1" t="n">
        <v>7082.5</v>
      </c>
      <c r="G32" s="1" t="n">
        <v>7082.5</v>
      </c>
      <c r="I32" s="2" t="n">
        <f aca="false">7499/1.2</f>
        <v>6249.16666666667</v>
      </c>
      <c r="K32" s="2" t="n">
        <f aca="false">I32*1.2</f>
        <v>7499</v>
      </c>
    </row>
    <row r="33" customFormat="false" ht="17" hidden="false" customHeight="false" outlineLevel="0" collapsed="false">
      <c r="A33" s="1" t="s">
        <v>70</v>
      </c>
      <c r="B33" s="1" t="s">
        <v>71</v>
      </c>
      <c r="C33" s="1" t="n">
        <v>26</v>
      </c>
      <c r="D33" s="1" t="n">
        <v>204</v>
      </c>
      <c r="E33" s="1" t="n">
        <v>25.06</v>
      </c>
      <c r="F33" s="1" t="n">
        <v>79.95</v>
      </c>
      <c r="G33" s="1" t="n">
        <v>16309.8</v>
      </c>
      <c r="I33" s="2" t="n">
        <f aca="false">69.95/1.2</f>
        <v>58.2916666666667</v>
      </c>
      <c r="K33" s="2" t="n">
        <f aca="false">I33*1.2</f>
        <v>69.95</v>
      </c>
    </row>
    <row r="34" customFormat="false" ht="17" hidden="false" customHeight="false" outlineLevel="0" collapsed="false">
      <c r="A34" s="1" t="s">
        <v>72</v>
      </c>
      <c r="B34" s="1" t="s">
        <v>73</v>
      </c>
      <c r="C34" s="1" t="n">
        <v>1</v>
      </c>
      <c r="D34" s="1" t="n">
        <v>26</v>
      </c>
      <c r="E34" s="1" t="n">
        <v>191.52</v>
      </c>
      <c r="F34" s="1" t="n">
        <v>458.29</v>
      </c>
      <c r="G34" s="1" t="n">
        <v>11915.54</v>
      </c>
      <c r="I34" s="2" t="n">
        <f aca="false">579.95/1.2</f>
        <v>483.291666666667</v>
      </c>
      <c r="K34" s="2" t="n">
        <f aca="false">I34*1.2</f>
        <v>579.95</v>
      </c>
    </row>
    <row r="35" customFormat="false" ht="17" hidden="false" customHeight="false" outlineLevel="0" collapsed="false">
      <c r="A35" s="1" t="n">
        <v>2691696</v>
      </c>
      <c r="B35" s="1" t="s">
        <v>74</v>
      </c>
      <c r="C35" s="1" t="n">
        <v>58</v>
      </c>
      <c r="D35" s="1" t="n">
        <v>1</v>
      </c>
      <c r="E35" s="1" t="n">
        <v>4935</v>
      </c>
      <c r="F35" s="1" t="n">
        <v>6582.5</v>
      </c>
      <c r="G35" s="1" t="n">
        <v>6582.5</v>
      </c>
      <c r="I35" s="2" t="n">
        <f aca="false">6899/1.2</f>
        <v>5749.16666666667</v>
      </c>
      <c r="K35" s="2" t="n">
        <f aca="false">I35*1.2</f>
        <v>6899</v>
      </c>
    </row>
    <row r="36" customFormat="false" ht="17" hidden="false" customHeight="false" outlineLevel="0" collapsed="false">
      <c r="A36" s="1" t="s">
        <v>75</v>
      </c>
      <c r="B36" s="1" t="s">
        <v>76</v>
      </c>
      <c r="C36" s="1" t="n">
        <v>26</v>
      </c>
      <c r="D36" s="1" t="n">
        <v>56</v>
      </c>
      <c r="E36" s="1" t="n">
        <v>83.46</v>
      </c>
      <c r="F36" s="1" t="n">
        <v>379.95</v>
      </c>
      <c r="G36" s="1" t="n">
        <v>21277.2</v>
      </c>
      <c r="I36" s="2" t="n">
        <f aca="false">249.95/1.2</f>
        <v>208.291666666667</v>
      </c>
      <c r="K36" s="2" t="n">
        <f aca="false">I36*1.2</f>
        <v>249.95</v>
      </c>
    </row>
    <row r="37" customFormat="false" ht="17" hidden="false" customHeight="false" outlineLevel="0" collapsed="false">
      <c r="A37" s="1" t="s">
        <v>77</v>
      </c>
      <c r="B37" s="1" t="s">
        <v>78</v>
      </c>
      <c r="C37" s="1" t="n">
        <v>81</v>
      </c>
      <c r="D37" s="1" t="n">
        <v>4</v>
      </c>
      <c r="E37" s="1" t="n">
        <v>1153.75</v>
      </c>
      <c r="F37" s="1" t="n">
        <v>1625</v>
      </c>
      <c r="G37" s="1" t="n">
        <v>6500</v>
      </c>
      <c r="I37" s="2" t="n">
        <f aca="false">999/1.2</f>
        <v>832.5</v>
      </c>
      <c r="K37" s="2" t="n">
        <f aca="false">I37*1.2</f>
        <v>999</v>
      </c>
    </row>
    <row r="38" customFormat="false" ht="17" hidden="false" customHeight="false" outlineLevel="0" collapsed="false">
      <c r="A38" s="1" t="s">
        <v>79</v>
      </c>
      <c r="B38" s="1" t="s">
        <v>80</v>
      </c>
      <c r="C38" s="1" t="n">
        <v>26</v>
      </c>
      <c r="D38" s="1" t="n">
        <v>56</v>
      </c>
      <c r="E38" s="1" t="n">
        <v>80.72</v>
      </c>
      <c r="F38" s="1" t="n">
        <v>249.96</v>
      </c>
      <c r="G38" s="1" t="n">
        <v>13997.76</v>
      </c>
      <c r="I38" s="2" t="n">
        <f aca="false">249.95/1.2</f>
        <v>208.291666666667</v>
      </c>
      <c r="K38" s="2" t="n">
        <f aca="false">I38*1.2</f>
        <v>249.95</v>
      </c>
    </row>
    <row r="39" customFormat="false" ht="17" hidden="false" customHeight="false" outlineLevel="0" collapsed="false">
      <c r="A39" s="1" t="s">
        <v>81</v>
      </c>
      <c r="B39" s="1" t="s">
        <v>82</v>
      </c>
      <c r="C39" s="1" t="n">
        <v>2</v>
      </c>
      <c r="D39" s="1" t="n">
        <v>32</v>
      </c>
      <c r="E39" s="1" t="n">
        <v>116.44</v>
      </c>
      <c r="F39" s="1" t="n">
        <v>199.95</v>
      </c>
      <c r="G39" s="1" t="n">
        <v>6398.4</v>
      </c>
      <c r="I39" s="2" t="n">
        <f aca="false">349.95/1.2</f>
        <v>291.625</v>
      </c>
      <c r="K39" s="2" t="n">
        <f aca="false">I39*1.2</f>
        <v>349.95</v>
      </c>
    </row>
    <row r="40" customFormat="false" ht="17" hidden="false" customHeight="false" outlineLevel="0" collapsed="false">
      <c r="A40" s="1" t="s">
        <v>83</v>
      </c>
      <c r="B40" s="1" t="s">
        <v>84</v>
      </c>
      <c r="C40" s="1" t="n">
        <v>26</v>
      </c>
      <c r="D40" s="1" t="n">
        <v>16</v>
      </c>
      <c r="E40" s="1" t="n">
        <v>230.57</v>
      </c>
      <c r="F40" s="1" t="n">
        <v>599.95</v>
      </c>
      <c r="G40" s="1" t="n">
        <v>9599.2</v>
      </c>
      <c r="I40" s="2" t="n">
        <f aca="false">699.95/1.2</f>
        <v>583.291666666667</v>
      </c>
      <c r="K40" s="2" t="n">
        <f aca="false">I40*1.2</f>
        <v>699.95</v>
      </c>
    </row>
    <row r="41" customFormat="false" ht="17" hidden="false" customHeight="false" outlineLevel="0" collapsed="false">
      <c r="A41" s="1" t="s">
        <v>85</v>
      </c>
      <c r="B41" s="1" t="s">
        <v>86</v>
      </c>
      <c r="C41" s="1" t="n">
        <v>28</v>
      </c>
      <c r="D41" s="1" t="n">
        <v>40</v>
      </c>
      <c r="E41" s="1" t="n">
        <v>87.3</v>
      </c>
      <c r="F41" s="1" t="n">
        <v>166.63</v>
      </c>
      <c r="G41" s="1" t="n">
        <v>6665.2</v>
      </c>
      <c r="I41" s="2" t="n">
        <f aca="false">199.95/1.2</f>
        <v>166.625</v>
      </c>
      <c r="K41" s="2" t="n">
        <f aca="false">I41*1.2</f>
        <v>199.95</v>
      </c>
    </row>
    <row r="42" customFormat="false" ht="17" hidden="false" customHeight="false" outlineLevel="0" collapsed="false">
      <c r="A42" s="1" t="s">
        <v>87</v>
      </c>
      <c r="B42" s="1" t="s">
        <v>88</v>
      </c>
      <c r="C42" s="1" t="n">
        <v>31</v>
      </c>
      <c r="D42" s="1" t="n">
        <v>3</v>
      </c>
      <c r="E42" s="1" t="n">
        <v>1048.19</v>
      </c>
      <c r="F42" s="1" t="n">
        <v>2124.17</v>
      </c>
      <c r="G42" s="1" t="n">
        <v>6372.51</v>
      </c>
      <c r="I42" s="2" t="n">
        <f aca="false">1499.96/1.2</f>
        <v>1249.96666666667</v>
      </c>
      <c r="K42" s="2" t="n">
        <f aca="false">1799.95/1.2</f>
        <v>1499.95833333333</v>
      </c>
    </row>
    <row r="43" customFormat="false" ht="17" hidden="false" customHeight="false" outlineLevel="0" collapsed="false">
      <c r="A43" s="1" t="s">
        <v>89</v>
      </c>
      <c r="B43" s="1" t="s">
        <v>90</v>
      </c>
      <c r="C43" s="1" t="n">
        <v>81</v>
      </c>
      <c r="D43" s="1" t="n">
        <v>4</v>
      </c>
      <c r="E43" s="1" t="n">
        <v>754.38</v>
      </c>
      <c r="F43" s="1" t="n">
        <v>1062.5</v>
      </c>
      <c r="G43" s="1" t="n">
        <v>4250</v>
      </c>
      <c r="I43" s="2" t="n">
        <f aca="false">915.83/1.2</f>
        <v>763.191666666667</v>
      </c>
      <c r="K43" s="2" t="n">
        <f aca="false">1099/1.2</f>
        <v>915.833333333333</v>
      </c>
    </row>
    <row r="44" customFormat="false" ht="27.75" hidden="false" customHeight="false" outlineLevel="0" collapsed="false">
      <c r="A44" s="1" t="s">
        <v>91</v>
      </c>
      <c r="B44" s="3" t="s">
        <v>92</v>
      </c>
      <c r="C44" s="1" t="n">
        <v>26</v>
      </c>
      <c r="D44" s="1" t="n">
        <v>24</v>
      </c>
      <c r="E44" s="1" t="n">
        <v>123.74</v>
      </c>
      <c r="F44" s="1" t="n">
        <v>349.95</v>
      </c>
      <c r="G44" s="1" t="n">
        <v>8398.8</v>
      </c>
      <c r="I44" s="2" t="n">
        <f aca="false">339.95/1.2</f>
        <v>283.291666666667</v>
      </c>
      <c r="K44" s="2" t="n">
        <f aca="false">I44*1.2</f>
        <v>339.95</v>
      </c>
    </row>
    <row r="45" customFormat="false" ht="17" hidden="false" customHeight="false" outlineLevel="0" collapsed="false">
      <c r="A45" s="1" t="s">
        <v>93</v>
      </c>
      <c r="B45" s="1" t="s">
        <v>94</v>
      </c>
      <c r="C45" s="1" t="n">
        <v>81</v>
      </c>
      <c r="D45" s="1" t="n">
        <v>2</v>
      </c>
      <c r="E45" s="1" t="n">
        <v>1464.38</v>
      </c>
      <c r="F45" s="1" t="n">
        <v>2062.5</v>
      </c>
      <c r="G45" s="1" t="n">
        <v>4125</v>
      </c>
      <c r="I45" s="2" t="n">
        <f aca="false">1299.95/1.2</f>
        <v>1083.29166666667</v>
      </c>
      <c r="K45" s="2" t="n">
        <f aca="false">I45*1.2</f>
        <v>1299.95</v>
      </c>
    </row>
    <row r="46" customFormat="false" ht="17" hidden="false" customHeight="false" outlineLevel="0" collapsed="false">
      <c r="A46" s="1" t="s">
        <v>95</v>
      </c>
      <c r="B46" s="1" t="s">
        <v>96</v>
      </c>
      <c r="C46" s="1" t="n">
        <v>81</v>
      </c>
      <c r="D46" s="1" t="n">
        <v>8</v>
      </c>
      <c r="E46" s="1" t="n">
        <v>362.25</v>
      </c>
      <c r="F46" s="1" t="n">
        <v>495.83</v>
      </c>
      <c r="G46" s="1" t="n">
        <v>3966.64</v>
      </c>
      <c r="I46" s="2" t="n">
        <f aca="false">E46/40*100</f>
        <v>905.625</v>
      </c>
      <c r="K46" s="2" t="n">
        <f aca="false">I46*1.2</f>
        <v>1086.75</v>
      </c>
    </row>
    <row r="47" customFormat="false" ht="17" hidden="false" customHeight="false" outlineLevel="0" collapsed="false">
      <c r="A47" s="1" t="s">
        <v>97</v>
      </c>
      <c r="B47" s="1" t="s">
        <v>98</v>
      </c>
      <c r="C47" s="1" t="n">
        <v>32</v>
      </c>
      <c r="D47" s="1" t="n">
        <v>3</v>
      </c>
      <c r="E47" s="1" t="n">
        <v>945</v>
      </c>
      <c r="F47" s="1" t="n">
        <v>1999</v>
      </c>
      <c r="G47" s="1" t="n">
        <v>5997</v>
      </c>
      <c r="I47" s="2" t="n">
        <f aca="false">1799.95/1.2</f>
        <v>1499.95833333333</v>
      </c>
      <c r="K47" s="2" t="n">
        <f aca="false">I47*1.2</f>
        <v>1799.95</v>
      </c>
    </row>
    <row r="48" customFormat="false" ht="17" hidden="false" customHeight="false" outlineLevel="0" collapsed="false">
      <c r="A48" s="1" t="s">
        <v>99</v>
      </c>
      <c r="B48" s="1" t="s">
        <v>100</v>
      </c>
      <c r="C48" s="1" t="n">
        <v>26</v>
      </c>
      <c r="D48" s="1" t="n">
        <v>21</v>
      </c>
      <c r="E48" s="1" t="n">
        <v>132.88</v>
      </c>
      <c r="F48" s="1" t="n">
        <v>208.29</v>
      </c>
      <c r="G48" s="1" t="n">
        <v>4374.09</v>
      </c>
      <c r="I48" s="2" t="n">
        <f aca="false">399.95/1.2</f>
        <v>333.291666666667</v>
      </c>
      <c r="K48" s="2" t="n">
        <f aca="false">I48*1.2</f>
        <v>399.95</v>
      </c>
    </row>
    <row r="49" customFormat="false" ht="17" hidden="false" customHeight="false" outlineLevel="0" collapsed="false">
      <c r="A49" s="1" t="s">
        <v>101</v>
      </c>
      <c r="B49" s="1" t="s">
        <v>102</v>
      </c>
      <c r="C49" s="1" t="n">
        <v>81</v>
      </c>
      <c r="D49" s="1" t="n">
        <v>4</v>
      </c>
      <c r="E49" s="1" t="n">
        <v>648.83</v>
      </c>
      <c r="F49" s="1" t="n">
        <v>954.17</v>
      </c>
      <c r="G49" s="1" t="n">
        <v>3816.68</v>
      </c>
      <c r="I49" s="2" t="n">
        <f aca="false">889.95/1.2</f>
        <v>741.625</v>
      </c>
      <c r="K49" s="2" t="n">
        <f aca="false">I49*1.2</f>
        <v>889.95</v>
      </c>
    </row>
    <row r="50" customFormat="false" ht="17" hidden="false" customHeight="false" outlineLevel="0" collapsed="false">
      <c r="A50" s="1" t="s">
        <v>103</v>
      </c>
      <c r="B50" s="1" t="s">
        <v>104</v>
      </c>
      <c r="C50" s="1" t="n">
        <v>26</v>
      </c>
      <c r="D50" s="1" t="n">
        <v>32</v>
      </c>
      <c r="E50" s="1" t="n">
        <v>79.41</v>
      </c>
      <c r="F50" s="1" t="n">
        <v>208.29</v>
      </c>
      <c r="G50" s="1" t="n">
        <v>6665.28</v>
      </c>
      <c r="I50" s="2" t="n">
        <f aca="false">239.95/1.2</f>
        <v>199.958333333333</v>
      </c>
      <c r="K50" s="2" t="n">
        <f aca="false">I50*1.2</f>
        <v>239.95</v>
      </c>
    </row>
    <row r="51" customFormat="false" ht="17" hidden="false" customHeight="false" outlineLevel="0" collapsed="false">
      <c r="A51" s="1" t="s">
        <v>105</v>
      </c>
      <c r="B51" s="1" t="s">
        <v>106</v>
      </c>
      <c r="C51" s="1" t="n">
        <v>26</v>
      </c>
      <c r="D51" s="1" t="n">
        <v>31</v>
      </c>
      <c r="E51" s="1" t="n">
        <v>79.41</v>
      </c>
      <c r="F51" s="1" t="n">
        <v>249.96</v>
      </c>
      <c r="G51" s="1" t="n">
        <v>7748.76</v>
      </c>
      <c r="I51" s="2" t="n">
        <f aca="false">239.95/1.2</f>
        <v>199.958333333333</v>
      </c>
      <c r="K51" s="2" t="n">
        <f aca="false">I51*1.2</f>
        <v>239.95</v>
      </c>
    </row>
    <row r="52" customFormat="false" ht="17" hidden="false" customHeight="false" outlineLevel="0" collapsed="false">
      <c r="A52" s="1" t="s">
        <v>107</v>
      </c>
      <c r="B52" s="1" t="s">
        <v>108</v>
      </c>
      <c r="C52" s="1" t="n">
        <v>32</v>
      </c>
      <c r="D52" s="1" t="n">
        <v>2</v>
      </c>
      <c r="E52" s="1" t="n">
        <v>1208.48</v>
      </c>
      <c r="F52" s="1" t="n">
        <v>1915.83</v>
      </c>
      <c r="G52" s="1" t="n">
        <v>3831.66</v>
      </c>
      <c r="I52" s="2" t="n">
        <f aca="false">2149/1.2</f>
        <v>1790.83333333333</v>
      </c>
      <c r="K52" s="2" t="n">
        <f aca="false">I52*1.2</f>
        <v>2149</v>
      </c>
    </row>
    <row r="53" customFormat="false" ht="17" hidden="false" customHeight="false" outlineLevel="0" collapsed="false">
      <c r="A53" s="1" t="s">
        <v>109</v>
      </c>
      <c r="B53" s="1" t="s">
        <v>110</v>
      </c>
      <c r="C53" s="1" t="n">
        <v>81</v>
      </c>
      <c r="D53" s="1" t="n">
        <v>2</v>
      </c>
      <c r="E53" s="1" t="n">
        <v>1196</v>
      </c>
      <c r="F53" s="1" t="n">
        <v>1733.33</v>
      </c>
      <c r="G53" s="1" t="n">
        <v>3466.66</v>
      </c>
      <c r="I53" s="2" t="n">
        <f aca="false">1665/1.2</f>
        <v>1387.5</v>
      </c>
      <c r="K53" s="2" t="n">
        <f aca="false">I53*1.2</f>
        <v>1665</v>
      </c>
    </row>
    <row r="54" customFormat="false" ht="17" hidden="false" customHeight="false" outlineLevel="0" collapsed="false">
      <c r="A54" s="1" t="s">
        <v>111</v>
      </c>
      <c r="B54" s="1" t="s">
        <v>112</v>
      </c>
      <c r="C54" s="1" t="n">
        <v>31</v>
      </c>
      <c r="D54" s="1" t="n">
        <v>2</v>
      </c>
      <c r="E54" s="1" t="n">
        <v>1128.48</v>
      </c>
      <c r="F54" s="1" t="n">
        <v>1832.5</v>
      </c>
      <c r="G54" s="1" t="n">
        <v>3665</v>
      </c>
      <c r="I54" s="2" t="n">
        <f aca="false">1999/1.2</f>
        <v>1665.83333333333</v>
      </c>
      <c r="K54" s="2" t="n">
        <f aca="false">I54*1.2</f>
        <v>1999</v>
      </c>
    </row>
    <row r="55" customFormat="false" ht="17" hidden="false" customHeight="false" outlineLevel="0" collapsed="false">
      <c r="A55" s="1" t="s">
        <v>113</v>
      </c>
      <c r="B55" s="1" t="s">
        <v>114</v>
      </c>
      <c r="C55" s="1" t="n">
        <v>1</v>
      </c>
      <c r="D55" s="1" t="n">
        <v>10</v>
      </c>
      <c r="E55" s="1" t="n">
        <v>218.5</v>
      </c>
      <c r="F55" s="1" t="n">
        <v>299.95</v>
      </c>
      <c r="G55" s="1" t="n">
        <v>2999.5</v>
      </c>
      <c r="I55" s="2" t="n">
        <f aca="false">399.95/1.2</f>
        <v>333.291666666667</v>
      </c>
      <c r="K55" s="2" t="n">
        <f aca="false">I55*1.2</f>
        <v>399.95</v>
      </c>
    </row>
    <row r="56" customFormat="false" ht="17" hidden="false" customHeight="false" outlineLevel="0" collapsed="false">
      <c r="A56" s="1" t="s">
        <v>115</v>
      </c>
      <c r="B56" s="1" t="s">
        <v>116</v>
      </c>
      <c r="C56" s="1" t="n">
        <v>26</v>
      </c>
      <c r="D56" s="1" t="n">
        <v>27</v>
      </c>
      <c r="E56" s="1" t="n">
        <v>80.77</v>
      </c>
      <c r="F56" s="1" t="n">
        <v>169.95</v>
      </c>
      <c r="G56" s="1" t="n">
        <v>4588.65</v>
      </c>
      <c r="I56" s="2" t="n">
        <f aca="false">249.95/1.2</f>
        <v>208.291666666667</v>
      </c>
      <c r="K56" s="2" t="n">
        <f aca="false">I56*1.2</f>
        <v>249.95</v>
      </c>
    </row>
    <row r="57" customFormat="false" ht="17" hidden="false" customHeight="false" outlineLevel="0" collapsed="false">
      <c r="A57" s="1" t="s">
        <v>117</v>
      </c>
      <c r="B57" s="1" t="s">
        <v>118</v>
      </c>
      <c r="C57" s="1" t="n">
        <v>31</v>
      </c>
      <c r="D57" s="1" t="n">
        <v>4</v>
      </c>
      <c r="E57" s="1" t="n">
        <v>527.63</v>
      </c>
      <c r="F57" s="1" t="n">
        <v>682.5</v>
      </c>
      <c r="G57" s="1" t="n">
        <v>2730</v>
      </c>
      <c r="I57" s="2" t="n">
        <f aca="false">809/1.2</f>
        <v>674.166666666667</v>
      </c>
      <c r="K57" s="2" t="n">
        <f aca="false">I57*1.2</f>
        <v>809</v>
      </c>
    </row>
    <row r="58" customFormat="false" ht="17" hidden="false" customHeight="false" outlineLevel="0" collapsed="false">
      <c r="A58" s="1" t="s">
        <v>119</v>
      </c>
      <c r="B58" s="1" t="s">
        <v>120</v>
      </c>
      <c r="C58" s="1" t="n">
        <v>81</v>
      </c>
      <c r="D58" s="1" t="n">
        <v>2</v>
      </c>
      <c r="E58" s="1" t="n">
        <v>1055.13</v>
      </c>
      <c r="F58" s="1" t="n">
        <v>1450</v>
      </c>
      <c r="G58" s="1" t="n">
        <v>2900</v>
      </c>
      <c r="I58" s="2" t="n">
        <f aca="false">1359/1.2</f>
        <v>1132.5</v>
      </c>
      <c r="K58" s="2" t="n">
        <f aca="false">I58*1.2</f>
        <v>1359</v>
      </c>
    </row>
    <row r="59" customFormat="false" ht="17" hidden="false" customHeight="false" outlineLevel="0" collapsed="false">
      <c r="A59" s="1" t="s">
        <v>121</v>
      </c>
      <c r="B59" s="1" t="s">
        <v>122</v>
      </c>
      <c r="C59" s="1" t="n">
        <v>81</v>
      </c>
      <c r="D59" s="1" t="n">
        <v>2</v>
      </c>
      <c r="E59" s="1" t="n">
        <v>966</v>
      </c>
      <c r="F59" s="1" t="n">
        <v>1325</v>
      </c>
      <c r="G59" s="1" t="n">
        <v>2650</v>
      </c>
      <c r="I59" s="2" t="n">
        <f aca="false">1265/1.2</f>
        <v>1054.16666666667</v>
      </c>
      <c r="K59" s="2" t="n">
        <f aca="false">I59*1.2</f>
        <v>1265</v>
      </c>
    </row>
    <row r="60" customFormat="false" ht="17" hidden="false" customHeight="false" outlineLevel="0" collapsed="false">
      <c r="A60" s="1" t="s">
        <v>123</v>
      </c>
      <c r="B60" s="1" t="s">
        <v>124</v>
      </c>
      <c r="C60" s="1" t="n">
        <v>32</v>
      </c>
      <c r="D60" s="1" t="n">
        <v>2</v>
      </c>
      <c r="E60" s="1" t="n">
        <v>948.61</v>
      </c>
      <c r="F60" s="1" t="n">
        <v>1165.83</v>
      </c>
      <c r="G60" s="1" t="n">
        <v>2331.66</v>
      </c>
      <c r="I60" s="2" t="n">
        <f aca="false">949/1.2</f>
        <v>790.833333333333</v>
      </c>
      <c r="K60" s="2" t="n">
        <f aca="false">I60*1.2</f>
        <v>949</v>
      </c>
    </row>
    <row r="61" customFormat="false" ht="17" hidden="false" customHeight="false" outlineLevel="0" collapsed="false">
      <c r="A61" s="1" t="s">
        <v>125</v>
      </c>
      <c r="B61" s="1" t="s">
        <v>126</v>
      </c>
      <c r="C61" s="1" t="n">
        <v>63</v>
      </c>
      <c r="D61" s="1" t="n">
        <v>15</v>
      </c>
      <c r="E61" s="1" t="n">
        <v>119.5</v>
      </c>
      <c r="F61" s="1" t="n">
        <v>199.17</v>
      </c>
      <c r="G61" s="1" t="n">
        <v>2987.55</v>
      </c>
      <c r="I61" s="2" t="n">
        <f aca="false">189/1.2</f>
        <v>157.5</v>
      </c>
      <c r="K61" s="2" t="n">
        <f aca="false">I61*1.2</f>
        <v>189</v>
      </c>
    </row>
    <row r="62" customFormat="false" ht="17" hidden="false" customHeight="false" outlineLevel="0" collapsed="false">
      <c r="A62" s="1" t="s">
        <v>127</v>
      </c>
      <c r="B62" s="1" t="s">
        <v>128</v>
      </c>
      <c r="C62" s="1" t="n">
        <v>31</v>
      </c>
      <c r="D62" s="1" t="n">
        <v>15</v>
      </c>
      <c r="E62" s="1" t="n">
        <v>115.33</v>
      </c>
      <c r="F62" s="1" t="n">
        <v>157.5</v>
      </c>
      <c r="G62" s="1" t="n">
        <v>2362.5</v>
      </c>
      <c r="I62" s="2" t="n">
        <f aca="false">169/1.2</f>
        <v>140.833333333333</v>
      </c>
      <c r="K62" s="2" t="n">
        <f aca="false">I62*1.2</f>
        <v>169</v>
      </c>
    </row>
    <row r="63" customFormat="false" ht="17" hidden="false" customHeight="false" outlineLevel="0" collapsed="false">
      <c r="A63" s="1" t="s">
        <v>129</v>
      </c>
      <c r="B63" s="1" t="s">
        <v>130</v>
      </c>
      <c r="C63" s="1" t="n">
        <v>81</v>
      </c>
      <c r="D63" s="1" t="n">
        <v>3</v>
      </c>
      <c r="E63" s="1" t="n">
        <v>576.38</v>
      </c>
      <c r="F63" s="1" t="n">
        <v>795</v>
      </c>
      <c r="G63" s="1" t="n">
        <v>2385</v>
      </c>
      <c r="I63" s="2" t="n">
        <v>624.16</v>
      </c>
      <c r="K63" s="2" t="n">
        <f aca="false">I63*1.2</f>
        <v>748.992</v>
      </c>
    </row>
    <row r="64" customFormat="false" ht="17" hidden="false" customHeight="false" outlineLevel="0" collapsed="false">
      <c r="A64" s="1" t="s">
        <v>131</v>
      </c>
      <c r="B64" s="1" t="s">
        <v>132</v>
      </c>
      <c r="C64" s="1" t="n">
        <v>26</v>
      </c>
      <c r="D64" s="1" t="n">
        <v>89</v>
      </c>
      <c r="E64" s="1" t="n">
        <v>19.17</v>
      </c>
      <c r="F64" s="1" t="n">
        <v>69.95</v>
      </c>
      <c r="G64" s="1" t="n">
        <v>6225.55</v>
      </c>
      <c r="I64" s="2" t="n">
        <f aca="false">99.95/1.2</f>
        <v>83.2916666666667</v>
      </c>
      <c r="K64" s="2" t="n">
        <f aca="false">I64*1.2</f>
        <v>99.95</v>
      </c>
    </row>
    <row r="65" customFormat="false" ht="17" hidden="false" customHeight="false" outlineLevel="0" collapsed="false">
      <c r="A65" s="1" t="s">
        <v>133</v>
      </c>
      <c r="B65" s="1" t="s">
        <v>134</v>
      </c>
      <c r="C65" s="1" t="n">
        <v>81</v>
      </c>
      <c r="D65" s="1" t="n">
        <v>5</v>
      </c>
      <c r="E65" s="1" t="n">
        <v>339.25</v>
      </c>
      <c r="F65" s="1" t="n">
        <v>466.67</v>
      </c>
      <c r="G65" s="1" t="n">
        <v>2333.35</v>
      </c>
      <c r="I65" s="2" t="n">
        <f aca="false">469.95/1.2</f>
        <v>391.625</v>
      </c>
      <c r="K65" s="2" t="n">
        <f aca="false">I65*1.2</f>
        <v>469.95</v>
      </c>
    </row>
    <row r="66" customFormat="false" ht="17" hidden="false" customHeight="false" outlineLevel="0" collapsed="false">
      <c r="A66" s="1" t="s">
        <v>135</v>
      </c>
      <c r="B66" s="1" t="s">
        <v>136</v>
      </c>
      <c r="C66" s="1" t="n">
        <v>26</v>
      </c>
      <c r="D66" s="1" t="n">
        <v>39</v>
      </c>
      <c r="E66" s="1" t="n">
        <v>42.4</v>
      </c>
      <c r="F66" s="1" t="n">
        <v>259.95</v>
      </c>
      <c r="G66" s="1" t="n">
        <v>10138.05</v>
      </c>
      <c r="I66" s="2" t="n">
        <f aca="false">139.95/1.2</f>
        <v>116.625</v>
      </c>
      <c r="K66" s="2" t="n">
        <f aca="false">I66*1.2</f>
        <v>139.95</v>
      </c>
    </row>
    <row r="67" customFormat="false" ht="17" hidden="false" customHeight="false" outlineLevel="0" collapsed="false">
      <c r="A67" s="1" t="s">
        <v>137</v>
      </c>
      <c r="B67" s="1" t="s">
        <v>138</v>
      </c>
      <c r="C67" s="1" t="n">
        <v>32</v>
      </c>
      <c r="D67" s="1" t="n">
        <v>1</v>
      </c>
      <c r="E67" s="1" t="n">
        <v>1546.02</v>
      </c>
      <c r="F67" s="1" t="n">
        <v>1999.17</v>
      </c>
      <c r="G67" s="1" t="n">
        <v>1999.17</v>
      </c>
      <c r="I67" s="2" t="n">
        <f aca="false">1479/1.2</f>
        <v>1232.5</v>
      </c>
      <c r="K67" s="2" t="n">
        <f aca="false">I67*1.2</f>
        <v>1479</v>
      </c>
    </row>
    <row r="68" customFormat="false" ht="17" hidden="false" customHeight="false" outlineLevel="0" collapsed="false">
      <c r="A68" s="1" t="s">
        <v>139</v>
      </c>
      <c r="B68" s="1" t="s">
        <v>140</v>
      </c>
      <c r="C68" s="1" t="n">
        <v>81</v>
      </c>
      <c r="D68" s="1" t="n">
        <v>2</v>
      </c>
      <c r="E68" s="1" t="n">
        <v>753.25</v>
      </c>
      <c r="F68" s="1" t="n">
        <v>1091.67</v>
      </c>
      <c r="G68" s="1" t="n">
        <v>2183.34</v>
      </c>
      <c r="I68" s="2" t="n">
        <f aca="false">1049/1.2</f>
        <v>874.166666666667</v>
      </c>
      <c r="K68" s="2" t="n">
        <f aca="false">I68*1.2</f>
        <v>1049</v>
      </c>
    </row>
    <row r="69" customFormat="false" ht="17" hidden="false" customHeight="false" outlineLevel="0" collapsed="false">
      <c r="A69" s="1" t="s">
        <v>141</v>
      </c>
      <c r="B69" s="1" t="s">
        <v>142</v>
      </c>
      <c r="C69" s="1" t="n">
        <v>1</v>
      </c>
      <c r="D69" s="1" t="n">
        <v>4</v>
      </c>
      <c r="E69" s="1" t="n">
        <v>370</v>
      </c>
      <c r="F69" s="1" t="n">
        <v>749.96</v>
      </c>
      <c r="G69" s="1" t="n">
        <v>2999.84</v>
      </c>
      <c r="I69" s="2" t="n">
        <f aca="false">1199/1.2</f>
        <v>999.166666666667</v>
      </c>
      <c r="K69" s="2" t="n">
        <f aca="false">I69*1.2</f>
        <v>1199</v>
      </c>
    </row>
    <row r="70" customFormat="false" ht="17" hidden="false" customHeight="false" outlineLevel="0" collapsed="false">
      <c r="A70" s="1" t="s">
        <v>143</v>
      </c>
      <c r="B70" s="1" t="s">
        <v>144</v>
      </c>
      <c r="C70" s="1" t="n">
        <v>26</v>
      </c>
      <c r="D70" s="1" t="n">
        <v>33</v>
      </c>
      <c r="E70" s="1" t="n">
        <v>44.8</v>
      </c>
      <c r="F70" s="1" t="n">
        <v>124.96</v>
      </c>
      <c r="G70" s="1" t="n">
        <v>4123.68</v>
      </c>
      <c r="I70" s="2" t="n">
        <f aca="false">139.95/1.2</f>
        <v>116.625</v>
      </c>
      <c r="K70" s="2" t="n">
        <f aca="false">I70*1.2</f>
        <v>139.95</v>
      </c>
    </row>
    <row r="71" customFormat="false" ht="17" hidden="false" customHeight="false" outlineLevel="0" collapsed="false">
      <c r="A71" s="1" t="s">
        <v>145</v>
      </c>
      <c r="B71" s="1" t="s">
        <v>146</v>
      </c>
      <c r="C71" s="1" t="n">
        <v>30</v>
      </c>
      <c r="D71" s="1" t="n">
        <v>1</v>
      </c>
      <c r="E71" s="1" t="n">
        <v>1466.94</v>
      </c>
      <c r="F71" s="1" t="n">
        <v>2599</v>
      </c>
      <c r="G71" s="1" t="n">
        <v>2599</v>
      </c>
      <c r="I71" s="2" t="n">
        <f aca="false">2399/1.2</f>
        <v>1999.16666666667</v>
      </c>
      <c r="K71" s="2" t="n">
        <f aca="false">I71*1.2</f>
        <v>2399</v>
      </c>
    </row>
    <row r="72" customFormat="false" ht="17" hidden="false" customHeight="false" outlineLevel="0" collapsed="false">
      <c r="A72" s="1" t="s">
        <v>147</v>
      </c>
      <c r="B72" s="1" t="s">
        <v>148</v>
      </c>
      <c r="C72" s="1" t="n">
        <v>81</v>
      </c>
      <c r="D72" s="1" t="n">
        <v>1</v>
      </c>
      <c r="E72" s="1" t="n">
        <v>1448.54</v>
      </c>
      <c r="F72" s="1" t="n">
        <v>1989</v>
      </c>
      <c r="G72" s="1" t="n">
        <v>1989</v>
      </c>
      <c r="I72" s="2" t="n">
        <f aca="false">1879/1.2</f>
        <v>1565.83333333333</v>
      </c>
      <c r="K72" s="2" t="n">
        <f aca="false">I72*1.2</f>
        <v>1879</v>
      </c>
    </row>
    <row r="73" customFormat="false" ht="17" hidden="false" customHeight="false" outlineLevel="0" collapsed="false">
      <c r="A73" s="1" t="s">
        <v>149</v>
      </c>
      <c r="B73" s="1" t="s">
        <v>150</v>
      </c>
      <c r="C73" s="1" t="n">
        <v>26</v>
      </c>
      <c r="D73" s="1" t="n">
        <v>6</v>
      </c>
      <c r="E73" s="1" t="n">
        <v>240.76</v>
      </c>
      <c r="F73" s="1" t="n">
        <v>699.95</v>
      </c>
      <c r="G73" s="1" t="n">
        <v>4199.7</v>
      </c>
      <c r="I73" s="2" t="n">
        <f aca="false">699.95/1.2</f>
        <v>583.291666666667</v>
      </c>
      <c r="K73" s="2" t="n">
        <f aca="false">I73*1.2</f>
        <v>699.95</v>
      </c>
    </row>
    <row r="74" customFormat="false" ht="17" hidden="false" customHeight="false" outlineLevel="0" collapsed="false">
      <c r="A74" s="1" t="s">
        <v>151</v>
      </c>
      <c r="B74" s="1" t="s">
        <v>152</v>
      </c>
      <c r="C74" s="1" t="n">
        <v>81</v>
      </c>
      <c r="D74" s="1" t="n">
        <v>1</v>
      </c>
      <c r="E74" s="1" t="n">
        <v>1332.5</v>
      </c>
      <c r="F74" s="1" t="n">
        <v>1816.67</v>
      </c>
      <c r="G74" s="1" t="n">
        <v>1816.67</v>
      </c>
      <c r="I74" s="2" t="n">
        <f aca="false">1939/1.2</f>
        <v>1615.83333333333</v>
      </c>
      <c r="K74" s="2" t="n">
        <f aca="false">I74*1.2</f>
        <v>1939</v>
      </c>
    </row>
    <row r="75" customFormat="false" ht="17" hidden="false" customHeight="false" outlineLevel="0" collapsed="false">
      <c r="A75" s="1" t="s">
        <v>153</v>
      </c>
      <c r="B75" s="1" t="s">
        <v>154</v>
      </c>
      <c r="C75" s="1" t="n">
        <v>26</v>
      </c>
      <c r="D75" s="1" t="n">
        <v>11</v>
      </c>
      <c r="E75" s="1" t="n">
        <v>116.92</v>
      </c>
      <c r="F75" s="1" t="n">
        <v>349.95</v>
      </c>
      <c r="G75" s="1" t="n">
        <v>3849.45</v>
      </c>
      <c r="I75" s="2" t="n">
        <f aca="false">399.95/1.2</f>
        <v>333.291666666667</v>
      </c>
      <c r="K75" s="2" t="n">
        <f aca="false">I75*1.2</f>
        <v>399.95</v>
      </c>
    </row>
    <row r="76" customFormat="false" ht="17" hidden="false" customHeight="false" outlineLevel="0" collapsed="false">
      <c r="A76" s="1" t="s">
        <v>155</v>
      </c>
      <c r="B76" s="1" t="s">
        <v>156</v>
      </c>
      <c r="C76" s="1" t="n">
        <v>81</v>
      </c>
      <c r="D76" s="1" t="n">
        <v>1</v>
      </c>
      <c r="E76" s="1" t="n">
        <v>1262.13</v>
      </c>
      <c r="F76" s="1" t="n">
        <v>1366.67</v>
      </c>
      <c r="G76" s="1" t="n">
        <v>1366.67</v>
      </c>
      <c r="I76" s="2" t="n">
        <f aca="false">1449/1.2</f>
        <v>1207.5</v>
      </c>
      <c r="K76" s="2" t="n">
        <f aca="false">I76*1.2</f>
        <v>1449</v>
      </c>
    </row>
    <row r="77" customFormat="false" ht="17" hidden="false" customHeight="false" outlineLevel="0" collapsed="false">
      <c r="A77" s="1" t="s">
        <v>157</v>
      </c>
      <c r="B77" s="1" t="s">
        <v>158</v>
      </c>
      <c r="C77" s="1" t="n">
        <v>26</v>
      </c>
      <c r="D77" s="1" t="n">
        <v>32</v>
      </c>
      <c r="E77" s="1" t="n">
        <v>38.4</v>
      </c>
      <c r="F77" s="1" t="n">
        <v>189.95</v>
      </c>
      <c r="G77" s="1" t="n">
        <v>6078.4</v>
      </c>
      <c r="I77" s="2" t="n">
        <f aca="false">119.95/1.2</f>
        <v>99.9583333333333</v>
      </c>
      <c r="K77" s="2" t="n">
        <f aca="false">I77*1.2</f>
        <v>119.95</v>
      </c>
    </row>
    <row r="78" customFormat="false" ht="17" hidden="false" customHeight="false" outlineLevel="0" collapsed="false">
      <c r="A78" s="1" t="s">
        <v>159</v>
      </c>
      <c r="B78" s="1" t="s">
        <v>160</v>
      </c>
      <c r="C78" s="1" t="n">
        <v>81</v>
      </c>
      <c r="D78" s="1" t="n">
        <v>2</v>
      </c>
      <c r="E78" s="1" t="n">
        <v>600.88</v>
      </c>
      <c r="F78" s="1" t="n">
        <v>825</v>
      </c>
      <c r="G78" s="1" t="n">
        <v>1650</v>
      </c>
      <c r="I78" s="2" t="n">
        <f aca="false">839/1.2</f>
        <v>699.166666666667</v>
      </c>
      <c r="K78" s="2" t="n">
        <f aca="false">I78*1.2</f>
        <v>839</v>
      </c>
    </row>
    <row r="79" customFormat="false" ht="17" hidden="false" customHeight="false" outlineLevel="0" collapsed="false">
      <c r="A79" s="1" t="s">
        <v>161</v>
      </c>
      <c r="B79" s="1" t="s">
        <v>162</v>
      </c>
      <c r="C79" s="1" t="n">
        <v>81</v>
      </c>
      <c r="D79" s="1" t="n">
        <v>1</v>
      </c>
      <c r="E79" s="1" t="n">
        <v>1192.84</v>
      </c>
      <c r="F79" s="1" t="n">
        <v>1469</v>
      </c>
      <c r="G79" s="1" t="n">
        <v>1469</v>
      </c>
      <c r="I79" s="2" t="n">
        <f aca="false">1548/1.2</f>
        <v>1290</v>
      </c>
      <c r="K79" s="2" t="n">
        <f aca="false">I79*1.2</f>
        <v>1548</v>
      </c>
    </row>
    <row r="80" customFormat="false" ht="17" hidden="false" customHeight="false" outlineLevel="0" collapsed="false">
      <c r="A80" s="1" t="s">
        <v>163</v>
      </c>
      <c r="B80" s="1" t="s">
        <v>164</v>
      </c>
      <c r="C80" s="1" t="n">
        <v>26</v>
      </c>
      <c r="D80" s="1" t="n">
        <v>9</v>
      </c>
      <c r="E80" s="1" t="n">
        <v>124.41</v>
      </c>
      <c r="F80" s="1" t="n">
        <v>349.95</v>
      </c>
      <c r="G80" s="1" t="n">
        <v>3149.55</v>
      </c>
      <c r="I80" s="2" t="n">
        <f aca="false">379.95/1.2</f>
        <v>316.625</v>
      </c>
      <c r="K80" s="2" t="n">
        <f aca="false">I80*1.2</f>
        <v>379.95</v>
      </c>
    </row>
    <row r="81" customFormat="false" ht="17" hidden="false" customHeight="false" outlineLevel="0" collapsed="false">
      <c r="A81" s="1" t="s">
        <v>165</v>
      </c>
      <c r="B81" s="1" t="s">
        <v>166</v>
      </c>
      <c r="C81" s="1" t="n">
        <v>81</v>
      </c>
      <c r="D81" s="1" t="n">
        <v>4</v>
      </c>
      <c r="E81" s="1" t="n">
        <v>270.25</v>
      </c>
      <c r="F81" s="1" t="n">
        <v>370.83</v>
      </c>
      <c r="G81" s="1" t="n">
        <v>1483.32</v>
      </c>
      <c r="I81" s="2" t="n">
        <f aca="false">395/1.2</f>
        <v>329.166666666667</v>
      </c>
      <c r="K81" s="2" t="n">
        <f aca="false">I81*1.2</f>
        <v>395</v>
      </c>
    </row>
    <row r="82" customFormat="false" ht="17" hidden="false" customHeight="false" outlineLevel="0" collapsed="false">
      <c r="A82" s="1" t="s">
        <v>167</v>
      </c>
      <c r="B82" s="1" t="s">
        <v>168</v>
      </c>
      <c r="C82" s="1" t="n">
        <v>63</v>
      </c>
      <c r="D82" s="1" t="n">
        <v>3</v>
      </c>
      <c r="E82" s="1" t="n">
        <v>349.5</v>
      </c>
      <c r="F82" s="1" t="n">
        <v>582.5</v>
      </c>
      <c r="G82" s="1" t="n">
        <v>1747.5</v>
      </c>
      <c r="I82" s="2" t="n">
        <f aca="false">575/1.2</f>
        <v>479.166666666667</v>
      </c>
      <c r="K82" s="2" t="n">
        <f aca="false">I82*1.2</f>
        <v>575</v>
      </c>
    </row>
    <row r="83" customFormat="false" ht="17" hidden="false" customHeight="false" outlineLevel="0" collapsed="false">
      <c r="A83" s="1" t="s">
        <v>169</v>
      </c>
      <c r="B83" s="1" t="s">
        <v>170</v>
      </c>
      <c r="C83" s="1" t="n">
        <v>26</v>
      </c>
      <c r="D83" s="1" t="n">
        <v>14</v>
      </c>
      <c r="E83" s="1" t="n">
        <v>71.19</v>
      </c>
      <c r="F83" s="1" t="n">
        <v>386.95</v>
      </c>
      <c r="G83" s="1" t="n">
        <v>5417.3</v>
      </c>
      <c r="I83" s="2" t="n">
        <f aca="false">239.95/1.2</f>
        <v>199.958333333333</v>
      </c>
      <c r="K83" s="2" t="n">
        <f aca="false">I83*1.2</f>
        <v>239.95</v>
      </c>
    </row>
    <row r="84" customFormat="false" ht="17" hidden="false" customHeight="false" outlineLevel="0" collapsed="false">
      <c r="A84" s="1" t="s">
        <v>171</v>
      </c>
      <c r="B84" s="1" t="s">
        <v>172</v>
      </c>
      <c r="C84" s="1" t="n">
        <v>81</v>
      </c>
      <c r="D84" s="1" t="n">
        <v>1</v>
      </c>
      <c r="E84" s="1" t="n">
        <v>976.25</v>
      </c>
      <c r="F84" s="1" t="n">
        <v>1375</v>
      </c>
      <c r="G84" s="1" t="n">
        <v>1375</v>
      </c>
      <c r="I84" s="2" t="n">
        <f aca="false">1299/1.2</f>
        <v>1082.5</v>
      </c>
      <c r="K84" s="2" t="n">
        <f aca="false">I84*1.2</f>
        <v>1299</v>
      </c>
    </row>
    <row r="85" customFormat="false" ht="17" hidden="false" customHeight="false" outlineLevel="0" collapsed="false">
      <c r="A85" s="1" t="s">
        <v>173</v>
      </c>
      <c r="B85" s="1" t="s">
        <v>174</v>
      </c>
      <c r="C85" s="1" t="n">
        <v>31</v>
      </c>
      <c r="D85" s="1" t="n">
        <v>1</v>
      </c>
      <c r="E85" s="1" t="n">
        <v>885</v>
      </c>
      <c r="F85" s="1" t="n">
        <v>1332.5</v>
      </c>
      <c r="G85" s="1" t="n">
        <v>1332.5</v>
      </c>
      <c r="I85" s="2" t="n">
        <f aca="false">1399/1.2</f>
        <v>1165.83333333333</v>
      </c>
      <c r="K85" s="2" t="n">
        <f aca="false">I85*1.2</f>
        <v>1399</v>
      </c>
    </row>
    <row r="86" customFormat="false" ht="17" hidden="false" customHeight="false" outlineLevel="0" collapsed="false">
      <c r="A86" s="1" t="s">
        <v>175</v>
      </c>
      <c r="B86" s="1" t="s">
        <v>176</v>
      </c>
      <c r="C86" s="1" t="n">
        <v>26</v>
      </c>
      <c r="D86" s="1" t="n">
        <v>10</v>
      </c>
      <c r="E86" s="1" t="n">
        <v>86.04</v>
      </c>
      <c r="F86" s="1" t="n">
        <v>174.13</v>
      </c>
      <c r="G86" s="1" t="n">
        <v>1741.3</v>
      </c>
      <c r="I86" s="2" t="n">
        <f aca="false">269.95/1.2</f>
        <v>224.958333333333</v>
      </c>
      <c r="K86" s="2" t="n">
        <f aca="false">I86*1.2</f>
        <v>269.95</v>
      </c>
    </row>
    <row r="87" customFormat="false" ht="17" hidden="false" customHeight="false" outlineLevel="0" collapsed="false">
      <c r="A87" s="1" t="s">
        <v>177</v>
      </c>
      <c r="B87" s="1" t="s">
        <v>178</v>
      </c>
      <c r="C87" s="1" t="n">
        <v>26</v>
      </c>
      <c r="D87" s="1" t="n">
        <v>11</v>
      </c>
      <c r="E87" s="1" t="n">
        <v>70.38</v>
      </c>
      <c r="F87" s="1" t="n">
        <v>269.95</v>
      </c>
      <c r="G87" s="1" t="n">
        <v>2969.45</v>
      </c>
      <c r="I87" s="2" t="n">
        <f aca="false">229.95/1.2</f>
        <v>191.625</v>
      </c>
      <c r="K87" s="2" t="n">
        <f aca="false">I87*1.2</f>
        <v>229.95</v>
      </c>
    </row>
    <row r="88" customFormat="false" ht="17" hidden="false" customHeight="false" outlineLevel="0" collapsed="false">
      <c r="A88" s="1" t="s">
        <v>179</v>
      </c>
      <c r="B88" s="1" t="s">
        <v>180</v>
      </c>
      <c r="C88" s="1" t="n">
        <v>63</v>
      </c>
      <c r="D88" s="1" t="n">
        <v>2</v>
      </c>
      <c r="E88" s="1" t="n">
        <v>340.71</v>
      </c>
      <c r="F88" s="1" t="n">
        <v>539</v>
      </c>
      <c r="G88" s="1" t="n">
        <v>1078</v>
      </c>
      <c r="I88" s="2" t="n">
        <f aca="false">539.95/1.2</f>
        <v>449.958333333333</v>
      </c>
      <c r="K88" s="2" t="n">
        <f aca="false">I88*1.2</f>
        <v>539.95</v>
      </c>
    </row>
    <row r="89" customFormat="false" ht="17" hidden="false" customHeight="false" outlineLevel="0" collapsed="false">
      <c r="A89" s="1" t="s">
        <v>181</v>
      </c>
      <c r="B89" s="1" t="s">
        <v>182</v>
      </c>
      <c r="C89" s="1" t="n">
        <v>63</v>
      </c>
      <c r="D89" s="1" t="n">
        <v>3</v>
      </c>
      <c r="E89" s="1" t="n">
        <v>216.13</v>
      </c>
      <c r="F89" s="1" t="n">
        <v>332.5</v>
      </c>
      <c r="G89" s="1" t="n">
        <v>997.5</v>
      </c>
      <c r="I89" s="2" t="n">
        <f aca="false">319/1.2</f>
        <v>265.833333333333</v>
      </c>
      <c r="K89" s="2" t="n">
        <f aca="false">I89*1.2</f>
        <v>319</v>
      </c>
    </row>
    <row r="90" customFormat="false" ht="17" hidden="false" customHeight="false" outlineLevel="0" collapsed="false">
      <c r="A90" s="1" t="s">
        <v>183</v>
      </c>
      <c r="B90" s="1" t="s">
        <v>184</v>
      </c>
      <c r="C90" s="1" t="n">
        <v>26</v>
      </c>
      <c r="D90" s="1" t="n">
        <v>5</v>
      </c>
      <c r="E90" s="1" t="n">
        <v>121</v>
      </c>
      <c r="F90" s="1" t="n">
        <v>308.29</v>
      </c>
      <c r="G90" s="1" t="n">
        <v>1541.45</v>
      </c>
      <c r="I90" s="2" t="n">
        <f aca="false">369.95/1.2</f>
        <v>308.291666666667</v>
      </c>
      <c r="K90" s="2" t="n">
        <f aca="false">I90*1.2</f>
        <v>369.95</v>
      </c>
    </row>
    <row r="91" customFormat="false" ht="17" hidden="false" customHeight="false" outlineLevel="0" collapsed="false">
      <c r="A91" s="1" t="s">
        <v>185</v>
      </c>
      <c r="B91" s="1" t="s">
        <v>186</v>
      </c>
      <c r="C91" s="1" t="n">
        <v>81</v>
      </c>
      <c r="D91" s="1" t="n">
        <v>2</v>
      </c>
      <c r="E91" s="1" t="n">
        <v>289.33</v>
      </c>
      <c r="F91" s="1" t="n">
        <v>466.67</v>
      </c>
      <c r="G91" s="1" t="n">
        <v>933.34</v>
      </c>
      <c r="I91" s="2" t="n">
        <f aca="false">399/1.2</f>
        <v>332.5</v>
      </c>
      <c r="K91" s="2" t="n">
        <f aca="false">I91*1.2</f>
        <v>399</v>
      </c>
    </row>
    <row r="92" customFormat="false" ht="17" hidden="false" customHeight="false" outlineLevel="0" collapsed="false">
      <c r="A92" s="1" t="s">
        <v>187</v>
      </c>
      <c r="B92" s="1" t="s">
        <v>188</v>
      </c>
      <c r="C92" s="1" t="n">
        <v>81</v>
      </c>
      <c r="D92" s="1" t="n">
        <v>2</v>
      </c>
      <c r="E92" s="1" t="n">
        <v>287.5</v>
      </c>
      <c r="F92" s="1" t="n">
        <v>416.67</v>
      </c>
      <c r="G92" s="1" t="n">
        <v>833.34</v>
      </c>
      <c r="I92" s="2" t="n">
        <f aca="false">424.99/1.2</f>
        <v>354.158333333333</v>
      </c>
      <c r="K92" s="2" t="n">
        <f aca="false">I92*1.2</f>
        <v>424.99</v>
      </c>
    </row>
    <row r="93" customFormat="false" ht="17" hidden="false" customHeight="false" outlineLevel="0" collapsed="false">
      <c r="A93" s="1" t="s">
        <v>189</v>
      </c>
      <c r="B93" s="1" t="s">
        <v>190</v>
      </c>
      <c r="C93" s="1" t="n">
        <v>81</v>
      </c>
      <c r="D93" s="1" t="n">
        <v>2</v>
      </c>
      <c r="E93" s="1" t="n">
        <v>276</v>
      </c>
      <c r="F93" s="1" t="n">
        <v>400</v>
      </c>
      <c r="G93" s="1" t="n">
        <v>800</v>
      </c>
      <c r="I93" s="2" t="n">
        <f aca="false">359/1.2</f>
        <v>299.166666666667</v>
      </c>
      <c r="K93" s="2" t="n">
        <f aca="false">I93*1.2</f>
        <v>359</v>
      </c>
    </row>
    <row r="94" customFormat="false" ht="17" hidden="false" customHeight="false" outlineLevel="0" collapsed="false">
      <c r="A94" s="1" t="s">
        <v>191</v>
      </c>
      <c r="B94" s="1" t="s">
        <v>192</v>
      </c>
      <c r="C94" s="1" t="n">
        <v>63</v>
      </c>
      <c r="D94" s="1" t="n">
        <v>2</v>
      </c>
      <c r="E94" s="1" t="n">
        <v>275.71</v>
      </c>
      <c r="F94" s="1" t="n">
        <v>424.17</v>
      </c>
      <c r="G94" s="1" t="n">
        <v>848.34</v>
      </c>
      <c r="I94" s="2" t="n">
        <f aca="false">428/1.2</f>
        <v>356.666666666667</v>
      </c>
      <c r="K94" s="2" t="n">
        <f aca="false">I94*1.2</f>
        <v>428</v>
      </c>
    </row>
    <row r="95" customFormat="false" ht="17" hidden="false" customHeight="false" outlineLevel="0" collapsed="false">
      <c r="A95" s="1" t="s">
        <v>193</v>
      </c>
      <c r="B95" s="1" t="s">
        <v>194</v>
      </c>
      <c r="C95" s="1" t="n">
        <v>81</v>
      </c>
      <c r="D95" s="1" t="n">
        <v>2</v>
      </c>
      <c r="E95" s="1" t="n">
        <v>271.25</v>
      </c>
      <c r="F95" s="1" t="n">
        <v>437.5</v>
      </c>
      <c r="G95" s="1" t="n">
        <v>875</v>
      </c>
      <c r="I95" s="2" t="n">
        <f aca="false">345/1.2</f>
        <v>287.5</v>
      </c>
      <c r="K95" s="2" t="n">
        <f aca="false">I95*1.2</f>
        <v>345</v>
      </c>
    </row>
    <row r="96" customFormat="false" ht="17" hidden="false" customHeight="false" outlineLevel="0" collapsed="false">
      <c r="A96" s="1" t="s">
        <v>195</v>
      </c>
      <c r="B96" s="1" t="s">
        <v>196</v>
      </c>
      <c r="C96" s="1" t="n">
        <v>81</v>
      </c>
      <c r="D96" s="1" t="n">
        <v>1</v>
      </c>
      <c r="E96" s="1" t="n">
        <v>540.5</v>
      </c>
      <c r="F96" s="1" t="n">
        <v>741.67</v>
      </c>
      <c r="G96" s="1" t="n">
        <v>741.67</v>
      </c>
      <c r="I96" s="2" t="n">
        <f aca="false">775/1.2</f>
        <v>645.833333333333</v>
      </c>
      <c r="K96" s="2" t="n">
        <f aca="false">I96*1.2</f>
        <v>775</v>
      </c>
    </row>
    <row r="97" customFormat="false" ht="17" hidden="false" customHeight="false" outlineLevel="0" collapsed="false">
      <c r="A97" s="1" t="s">
        <v>197</v>
      </c>
      <c r="B97" s="1" t="s">
        <v>198</v>
      </c>
      <c r="C97" s="1" t="n">
        <v>26</v>
      </c>
      <c r="D97" s="1" t="n">
        <v>12</v>
      </c>
      <c r="E97" s="1" t="n">
        <v>43.2</v>
      </c>
      <c r="F97" s="1" t="n">
        <v>289.95</v>
      </c>
      <c r="G97" s="1" t="n">
        <v>3479.4</v>
      </c>
      <c r="I97" s="2" t="n">
        <f aca="false">129.95/1.2</f>
        <v>108.291666666667</v>
      </c>
      <c r="K97" s="2" t="n">
        <f aca="false">I97*1.2</f>
        <v>129.95</v>
      </c>
    </row>
    <row r="98" customFormat="false" ht="17" hidden="false" customHeight="false" outlineLevel="0" collapsed="false">
      <c r="A98" s="1" t="s">
        <v>199</v>
      </c>
      <c r="B98" s="1" t="s">
        <v>200</v>
      </c>
      <c r="C98" s="1" t="n">
        <v>63</v>
      </c>
      <c r="D98" s="1" t="n">
        <v>3</v>
      </c>
      <c r="E98" s="1" t="n">
        <v>159.5</v>
      </c>
      <c r="F98" s="1" t="n">
        <v>265.83</v>
      </c>
      <c r="G98" s="1" t="n">
        <v>797.49</v>
      </c>
      <c r="I98" s="2" t="n">
        <f aca="false">265/1.2</f>
        <v>220.833333333333</v>
      </c>
      <c r="K98" s="2" t="n">
        <f aca="false">I98*1.2</f>
        <v>265</v>
      </c>
    </row>
    <row r="99" customFormat="false" ht="17" hidden="false" customHeight="false" outlineLevel="0" collapsed="false">
      <c r="A99" s="1" t="s">
        <v>201</v>
      </c>
      <c r="B99" s="1" t="s">
        <v>202</v>
      </c>
      <c r="C99" s="1" t="n">
        <v>81</v>
      </c>
      <c r="D99" s="1" t="n">
        <v>1</v>
      </c>
      <c r="E99" s="1" t="n">
        <v>457.13</v>
      </c>
      <c r="F99" s="1" t="n">
        <v>662.5</v>
      </c>
      <c r="G99" s="1" t="n">
        <v>662.5</v>
      </c>
      <c r="I99" s="2" t="n">
        <f aca="false">E99/40*100</f>
        <v>1142.825</v>
      </c>
      <c r="K99" s="2" t="n">
        <f aca="false">I99*1.2</f>
        <v>1371.39</v>
      </c>
    </row>
    <row r="100" customFormat="false" ht="17" hidden="false" customHeight="false" outlineLevel="0" collapsed="false">
      <c r="A100" s="1" t="s">
        <v>203</v>
      </c>
      <c r="B100" s="1" t="s">
        <v>204</v>
      </c>
      <c r="C100" s="1" t="n">
        <v>81</v>
      </c>
      <c r="D100" s="1" t="n">
        <v>1</v>
      </c>
      <c r="E100" s="1" t="n">
        <v>433.33</v>
      </c>
      <c r="F100" s="1" t="n">
        <v>665</v>
      </c>
      <c r="G100" s="1" t="n">
        <v>665</v>
      </c>
      <c r="I100" s="2" t="n">
        <f aca="false">665/1.2</f>
        <v>554.166666666667</v>
      </c>
      <c r="K100" s="2" t="n">
        <f aca="false">I100*1.2</f>
        <v>665</v>
      </c>
    </row>
    <row r="101" customFormat="false" ht="17" hidden="false" customHeight="false" outlineLevel="0" collapsed="false">
      <c r="A101" s="1" t="s">
        <v>205</v>
      </c>
      <c r="B101" s="1" t="s">
        <v>206</v>
      </c>
      <c r="C101" s="1" t="n">
        <v>63</v>
      </c>
      <c r="D101" s="1" t="n">
        <v>1</v>
      </c>
      <c r="E101" s="1" t="n">
        <v>427.38</v>
      </c>
      <c r="F101" s="1" t="n">
        <v>657.5</v>
      </c>
      <c r="G101" s="1" t="n">
        <v>657.5</v>
      </c>
      <c r="I101" s="2" t="n">
        <f aca="false">639/1.2</f>
        <v>532.5</v>
      </c>
      <c r="K101" s="2" t="n">
        <f aca="false">I101*1.2</f>
        <v>639</v>
      </c>
    </row>
    <row r="102" customFormat="false" ht="17" hidden="false" customHeight="false" outlineLevel="0" collapsed="false">
      <c r="A102" s="1" t="s">
        <v>207</v>
      </c>
      <c r="B102" s="1" t="s">
        <v>208</v>
      </c>
      <c r="C102" s="1" t="n">
        <v>81</v>
      </c>
      <c r="D102" s="1" t="n">
        <v>1</v>
      </c>
      <c r="E102" s="1" t="n">
        <v>419.75</v>
      </c>
      <c r="F102" s="1" t="n">
        <v>575</v>
      </c>
      <c r="G102" s="1" t="n">
        <v>575</v>
      </c>
      <c r="I102" s="2" t="n">
        <f aca="false">579/1.2</f>
        <v>482.5</v>
      </c>
      <c r="K102" s="2" t="n">
        <f aca="false">I102*1.2</f>
        <v>579</v>
      </c>
    </row>
    <row r="103" customFormat="false" ht="17" hidden="false" customHeight="false" outlineLevel="0" collapsed="false">
      <c r="A103" s="1" t="s">
        <v>209</v>
      </c>
      <c r="B103" s="1" t="s">
        <v>210</v>
      </c>
      <c r="C103" s="1" t="n">
        <v>81</v>
      </c>
      <c r="D103" s="1" t="n">
        <v>1</v>
      </c>
      <c r="E103" s="1" t="n">
        <v>411.13</v>
      </c>
      <c r="F103" s="1" t="n">
        <v>562.5</v>
      </c>
      <c r="G103" s="1" t="n">
        <v>562.5</v>
      </c>
      <c r="I103" s="2" t="n">
        <f aca="false">549/1.2</f>
        <v>457.5</v>
      </c>
      <c r="K103" s="2" t="n">
        <f aca="false">I103*1.2</f>
        <v>549</v>
      </c>
    </row>
    <row r="104" customFormat="false" ht="17" hidden="false" customHeight="false" outlineLevel="0" collapsed="false">
      <c r="A104" s="1" t="s">
        <v>211</v>
      </c>
      <c r="B104" s="1" t="s">
        <v>212</v>
      </c>
      <c r="C104" s="1" t="n">
        <v>81</v>
      </c>
      <c r="D104" s="1" t="n">
        <v>1</v>
      </c>
      <c r="E104" s="1" t="n">
        <v>405.83</v>
      </c>
      <c r="F104" s="1" t="n">
        <v>587.5</v>
      </c>
      <c r="G104" s="1" t="n">
        <v>587.5</v>
      </c>
      <c r="I104" s="2" t="n">
        <f aca="false">579/1.2</f>
        <v>482.5</v>
      </c>
      <c r="K104" s="2" t="n">
        <f aca="false">I104*1.2</f>
        <v>579</v>
      </c>
    </row>
    <row r="105" customFormat="false" ht="17" hidden="false" customHeight="false" outlineLevel="0" collapsed="false">
      <c r="A105" s="1" t="s">
        <v>213</v>
      </c>
      <c r="B105" s="1" t="s">
        <v>214</v>
      </c>
      <c r="C105" s="1" t="n">
        <v>53</v>
      </c>
      <c r="D105" s="1" t="n">
        <v>1</v>
      </c>
      <c r="E105" s="1" t="n">
        <v>402</v>
      </c>
      <c r="F105" s="1" t="n">
        <v>699</v>
      </c>
      <c r="G105" s="1" t="n">
        <v>699</v>
      </c>
      <c r="I105" s="2" t="n">
        <f aca="false">629/1.2</f>
        <v>524.166666666667</v>
      </c>
      <c r="K105" s="2" t="n">
        <f aca="false">I105*1.2</f>
        <v>629</v>
      </c>
    </row>
    <row r="106" customFormat="false" ht="17" hidden="false" customHeight="false" outlineLevel="0" collapsed="false">
      <c r="A106" s="1" t="s">
        <v>215</v>
      </c>
      <c r="B106" s="1" t="s">
        <v>216</v>
      </c>
      <c r="C106" s="1" t="n">
        <v>1</v>
      </c>
      <c r="D106" s="1" t="n">
        <v>4</v>
      </c>
      <c r="E106" s="1" t="n">
        <v>93</v>
      </c>
      <c r="F106" s="1" t="n">
        <v>191.62</v>
      </c>
      <c r="G106" s="1" t="n">
        <v>766.48</v>
      </c>
      <c r="I106" s="2" t="n">
        <f aca="false">E106/40*100</f>
        <v>232.5</v>
      </c>
      <c r="K106" s="2" t="n">
        <f aca="false">I106*1.2</f>
        <v>279</v>
      </c>
    </row>
    <row r="107" customFormat="false" ht="17" hidden="false" customHeight="false" outlineLevel="0" collapsed="false">
      <c r="A107" s="1" t="s">
        <v>217</v>
      </c>
      <c r="B107" s="1" t="s">
        <v>218</v>
      </c>
      <c r="C107" s="1" t="n">
        <v>63</v>
      </c>
      <c r="D107" s="1" t="n">
        <v>1</v>
      </c>
      <c r="E107" s="1" t="n">
        <v>344.72</v>
      </c>
      <c r="F107" s="1" t="n">
        <v>559</v>
      </c>
      <c r="G107" s="1" t="n">
        <v>559</v>
      </c>
      <c r="I107" s="2" t="n">
        <f aca="false">388/1.2</f>
        <v>323.333333333333</v>
      </c>
      <c r="K107" s="2" t="n">
        <f aca="false">I107*1.2</f>
        <v>388</v>
      </c>
    </row>
    <row r="108" customFormat="false" ht="17" hidden="false" customHeight="false" outlineLevel="0" collapsed="false">
      <c r="A108" s="1" t="s">
        <v>219</v>
      </c>
      <c r="B108" s="1" t="s">
        <v>220</v>
      </c>
      <c r="C108" s="1" t="n">
        <v>1</v>
      </c>
      <c r="D108" s="1" t="n">
        <v>3</v>
      </c>
      <c r="E108" s="1" t="n">
        <v>105.51</v>
      </c>
      <c r="F108" s="1" t="n">
        <v>208.29</v>
      </c>
      <c r="G108" s="1" t="n">
        <v>624.87</v>
      </c>
      <c r="I108" s="2" t="n">
        <f aca="false">319.95/1.2</f>
        <v>266.625</v>
      </c>
      <c r="K108" s="2" t="n">
        <f aca="false">I108*1.2</f>
        <v>319.95</v>
      </c>
    </row>
    <row r="109" customFormat="false" ht="17" hidden="false" customHeight="false" outlineLevel="0" collapsed="false">
      <c r="A109" s="1" t="s">
        <v>221</v>
      </c>
      <c r="B109" s="1" t="s">
        <v>222</v>
      </c>
      <c r="C109" s="1" t="n">
        <v>81</v>
      </c>
      <c r="D109" s="1" t="n">
        <v>1</v>
      </c>
      <c r="E109" s="1" t="n">
        <v>313.38</v>
      </c>
      <c r="F109" s="1" t="n">
        <v>429.17</v>
      </c>
      <c r="G109" s="1" t="n">
        <v>429.17</v>
      </c>
      <c r="I109" s="2" t="n">
        <f aca="false">429/1.2</f>
        <v>357.5</v>
      </c>
      <c r="K109" s="2" t="n">
        <f aca="false">I109*1.2</f>
        <v>429</v>
      </c>
    </row>
    <row r="110" customFormat="false" ht="17" hidden="false" customHeight="false" outlineLevel="0" collapsed="false">
      <c r="A110" s="1" t="s">
        <v>223</v>
      </c>
      <c r="B110" s="1" t="s">
        <v>224</v>
      </c>
      <c r="C110" s="1" t="n">
        <v>63</v>
      </c>
      <c r="D110" s="1" t="n">
        <v>1</v>
      </c>
      <c r="E110" s="1" t="n">
        <v>302.79</v>
      </c>
      <c r="F110" s="1" t="n">
        <v>465.83</v>
      </c>
      <c r="G110" s="1" t="n">
        <v>465.83</v>
      </c>
      <c r="I110" s="2" t="n">
        <f aca="false">429/1.2</f>
        <v>357.5</v>
      </c>
      <c r="K110" s="2" t="n">
        <f aca="false">I110*1.2</f>
        <v>429</v>
      </c>
    </row>
    <row r="111" customFormat="false" ht="17" hidden="false" customHeight="false" outlineLevel="0" collapsed="false">
      <c r="A111" s="1" t="s">
        <v>225</v>
      </c>
      <c r="B111" s="1" t="s">
        <v>226</v>
      </c>
      <c r="C111" s="1" t="n">
        <v>63</v>
      </c>
      <c r="D111" s="1" t="n">
        <v>1</v>
      </c>
      <c r="E111" s="1" t="n">
        <v>297.38</v>
      </c>
      <c r="F111" s="1" t="n">
        <v>457.5</v>
      </c>
      <c r="G111" s="1" t="n">
        <v>457.5</v>
      </c>
      <c r="I111" s="2" t="n">
        <f aca="false">459/1.2</f>
        <v>382.5</v>
      </c>
      <c r="K111" s="2" t="n">
        <f aca="false">I111*1.2</f>
        <v>459</v>
      </c>
    </row>
    <row r="112" customFormat="false" ht="17" hidden="false" customHeight="false" outlineLevel="0" collapsed="false">
      <c r="A112" s="1" t="n">
        <f aca="false">449/1.2</f>
        <v>374.166666666667</v>
      </c>
      <c r="B112" s="1" t="s">
        <v>227</v>
      </c>
      <c r="C112" s="1" t="n">
        <v>63</v>
      </c>
      <c r="D112" s="1" t="n">
        <v>1</v>
      </c>
      <c r="E112" s="1" t="n">
        <v>286.54</v>
      </c>
      <c r="F112" s="1" t="n">
        <v>440.83</v>
      </c>
      <c r="G112" s="1" t="n">
        <v>440.83</v>
      </c>
      <c r="I112" s="2" t="n">
        <f aca="false">449.95/1.2</f>
        <v>374.958333333333</v>
      </c>
      <c r="K112" s="2" t="n">
        <f aca="false">I112*1.2</f>
        <v>449.95</v>
      </c>
    </row>
    <row r="113" customFormat="false" ht="17" hidden="false" customHeight="false" outlineLevel="0" collapsed="false">
      <c r="A113" s="1" t="s">
        <v>228</v>
      </c>
      <c r="B113" s="1" t="s">
        <v>229</v>
      </c>
      <c r="C113" s="1" t="n">
        <v>63</v>
      </c>
      <c r="D113" s="1" t="n">
        <v>2</v>
      </c>
      <c r="E113" s="1" t="n">
        <v>134.5</v>
      </c>
      <c r="F113" s="1" t="n">
        <v>224.17</v>
      </c>
      <c r="G113" s="1" t="n">
        <v>448.34</v>
      </c>
      <c r="I113" s="2" t="n">
        <f aca="false">E113/40*100</f>
        <v>336.25</v>
      </c>
      <c r="K113" s="2" t="n">
        <f aca="false">I113*1.2</f>
        <v>403.5</v>
      </c>
    </row>
    <row r="114" customFormat="false" ht="17" hidden="false" customHeight="false" outlineLevel="0" collapsed="false">
      <c r="A114" s="1" t="s">
        <v>230</v>
      </c>
      <c r="B114" s="1" t="s">
        <v>231</v>
      </c>
      <c r="C114" s="1" t="n">
        <v>81</v>
      </c>
      <c r="D114" s="1" t="n">
        <v>2</v>
      </c>
      <c r="E114" s="1" t="n">
        <v>120.25</v>
      </c>
      <c r="F114" s="1" t="n">
        <v>154.17</v>
      </c>
      <c r="G114" s="1" t="n">
        <v>308.34</v>
      </c>
      <c r="I114" s="2" t="n">
        <f aca="false">E114/40*100</f>
        <v>300.625</v>
      </c>
      <c r="K114" s="2" t="n">
        <f aca="false">I114*1.2</f>
        <v>360.75</v>
      </c>
    </row>
    <row r="115" customFormat="false" ht="17" hidden="false" customHeight="false" outlineLevel="0" collapsed="false">
      <c r="A115" s="1" t="s">
        <v>232</v>
      </c>
      <c r="B115" s="1" t="s">
        <v>233</v>
      </c>
      <c r="C115" s="1" t="n">
        <v>63</v>
      </c>
      <c r="D115" s="1" t="n">
        <v>1</v>
      </c>
      <c r="E115" s="1" t="n">
        <v>237.79</v>
      </c>
      <c r="F115" s="1" t="n">
        <v>365.83</v>
      </c>
      <c r="G115" s="1" t="n">
        <v>365.83</v>
      </c>
      <c r="I115" s="2" t="n">
        <f aca="false">E115/40*100</f>
        <v>594.475</v>
      </c>
      <c r="K115" s="2" t="n">
        <f aca="false">I115*1.2</f>
        <v>713.37</v>
      </c>
    </row>
    <row r="116" customFormat="false" ht="17" hidden="false" customHeight="false" outlineLevel="0" collapsed="false">
      <c r="A116" s="1" t="s">
        <v>234</v>
      </c>
      <c r="B116" s="1" t="s">
        <v>235</v>
      </c>
      <c r="C116" s="1" t="n">
        <v>53</v>
      </c>
      <c r="D116" s="1" t="n">
        <v>1</v>
      </c>
      <c r="E116" s="1" t="n">
        <v>197.99</v>
      </c>
      <c r="F116" s="1" t="n">
        <v>439</v>
      </c>
      <c r="G116" s="1" t="n">
        <v>439</v>
      </c>
      <c r="I116" s="2" t="n">
        <f aca="false">E116/40*100</f>
        <v>494.975</v>
      </c>
      <c r="K116" s="2" t="n">
        <f aca="false">I116*1.2</f>
        <v>593.97</v>
      </c>
    </row>
    <row r="117" customFormat="false" ht="17" hidden="false" customHeight="false" outlineLevel="0" collapsed="false">
      <c r="A117" s="1" t="s">
        <v>236</v>
      </c>
      <c r="B117" s="1" t="s">
        <v>237</v>
      </c>
      <c r="C117" s="1" t="n">
        <v>2</v>
      </c>
      <c r="D117" s="1" t="n">
        <v>2</v>
      </c>
      <c r="E117" s="1" t="n">
        <v>60.4</v>
      </c>
      <c r="F117" s="1" t="n">
        <v>199.95</v>
      </c>
      <c r="G117" s="1" t="n">
        <v>399.9</v>
      </c>
      <c r="I117" s="2" t="n">
        <f aca="false">189.95/1.2</f>
        <v>158.291666666667</v>
      </c>
      <c r="K117" s="2" t="n">
        <f aca="false">I117*1.2</f>
        <v>189.95</v>
      </c>
    </row>
    <row r="118" customFormat="false" ht="17" hidden="false" customHeight="false" outlineLevel="0" collapsed="false">
      <c r="A118" s="1" t="s">
        <v>238</v>
      </c>
      <c r="B118" s="1" t="s">
        <v>239</v>
      </c>
      <c r="C118" s="1" t="n">
        <v>26</v>
      </c>
      <c r="D118" s="1" t="n">
        <v>3</v>
      </c>
      <c r="E118" s="1" t="n">
        <v>36</v>
      </c>
      <c r="F118" s="1" t="n">
        <v>189.95</v>
      </c>
      <c r="G118" s="1" t="n">
        <v>569.85</v>
      </c>
      <c r="I118" s="2" t="n">
        <f aca="false">109.95/1.2</f>
        <v>91.625</v>
      </c>
      <c r="K118" s="2" t="n">
        <f aca="false">I118*1.2</f>
        <v>109.95</v>
      </c>
    </row>
    <row r="120" customFormat="false" ht="17" hidden="false" customHeight="false" outlineLevel="0" collapsed="false">
      <c r="L120" s="1" t="n">
        <f aca="false">SUM(L2:L118)</f>
        <v>0</v>
      </c>
    </row>
    <row r="122" customFormat="false" ht="17" hidden="false" customHeight="false" outlineLevel="0" collapsed="false">
      <c r="H122" s="1" t="e">
        <f aca="false">#REF!/#REF!-1</f>
        <v>#REF!</v>
      </c>
    </row>
    <row r="137" s="4" customFormat="true" ht="17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2"/>
      <c r="L137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F3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0.90234375" defaultRowHeight="16" zeroHeight="false" outlineLevelRow="0" outlineLevelCol="0"/>
  <sheetData>
    <row r="3" customFormat="false" ht="16" hidden="false" customHeight="false" outlineLevel="0" collapsed="false">
      <c r="G3" s="1" t="s">
        <v>240</v>
      </c>
      <c r="H3" s="1" t="n">
        <v>120</v>
      </c>
    </row>
    <row r="4" customFormat="false" ht="16" hidden="false" customHeight="false" outlineLevel="0" collapsed="false">
      <c r="G4" s="1" t="s">
        <v>241</v>
      </c>
      <c r="H4" s="1" t="n">
        <v>100</v>
      </c>
    </row>
    <row r="5" customFormat="false" ht="16" hidden="false" customHeight="false" outlineLevel="0" collapsed="false">
      <c r="F5" s="1" t="s">
        <v>242</v>
      </c>
      <c r="H5" s="1" t="n">
        <f aca="false">H3*0.2</f>
        <v>24</v>
      </c>
    </row>
    <row r="6" customFormat="false" ht="16" hidden="false" customHeight="false" outlineLevel="0" collapsed="false">
      <c r="F6" s="1" t="s">
        <v>243</v>
      </c>
      <c r="H6" s="1" t="n">
        <f aca="false">H4*0.1</f>
        <v>10</v>
      </c>
    </row>
    <row r="7" customFormat="false" ht="16" hidden="false" customHeight="false" outlineLevel="0" collapsed="false">
      <c r="F7" s="1" t="s">
        <v>244</v>
      </c>
      <c r="H7" s="1" t="n">
        <f aca="false">H4*0.08</f>
        <v>8</v>
      </c>
    </row>
    <row r="8" customFormat="false" ht="16" hidden="false" customHeight="false" outlineLevel="0" collapsed="false">
      <c r="F8" s="1" t="s">
        <v>245</v>
      </c>
    </row>
    <row r="9" customFormat="false" ht="16" hidden="false" customHeight="false" outlineLevel="0" collapsed="false">
      <c r="F9" s="1" t="s">
        <v>246</v>
      </c>
      <c r="H9" s="1" t="n">
        <f aca="false">H3*0.02</f>
        <v>2.4</v>
      </c>
    </row>
    <row r="12" customFormat="false" ht="16" hidden="false" customHeight="false" outlineLevel="0" collapsed="false">
      <c r="F12" s="1" t="s">
        <v>247</v>
      </c>
      <c r="H12" s="1" t="n">
        <f aca="false">SUM(H5:H11)</f>
        <v>44.4</v>
      </c>
    </row>
    <row r="14" customFormat="false" ht="16" hidden="false" customHeight="false" outlineLevel="0" collapsed="false">
      <c r="H14" s="1" t="n">
        <f aca="false">H4-H12</f>
        <v>55.6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2026-05-11T13:47:12Z</dcterms:created>
  <dc:creator>Andrew Gunn ( Compass Garden Machinery)</dc:creator>
  <dc:description/>
  <dc:language>en-GB</dc:language>
  <cp:lastModifiedBy/>
  <dcterms:modified xsi:type="dcterms:W3CDTF">2026-05-13T17:25:15Z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