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e One" sheetId="1" state="visible" r:id="rId3"/>
  </sheets>
  <definedNames>
    <definedName function="false" hidden="false" localSheetId="0" name="_xlnm.Print_Area" vbProcedure="false">'Page One'!$A$1:$L$29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<sst xmlns="http://schemas.openxmlformats.org/spreadsheetml/2006/main" count="37" uniqueCount="37">
  <si>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Wayne Theisinger</t>
  </si>
  <si>
    <t xml:space="preserve">Statement of Account</t>
  </si>
  <si>
    <t xml:space="preserve">To:</t>
  </si>
  <si>
    <t xml:space="preserve">Compass &amp; Spectre</t>
  </si>
  <si>
    <t xml:space="preserve">60 Sunderland Road, Sandy</t>
  </si>
  <si>
    <t xml:space="preserve">12 Bridge Street</t>
  </si>
  <si>
    <t xml:space="preserve">Bedfordshire</t>
  </si>
  <si>
    <t xml:space="preserve">Bungay</t>
  </si>
  <si>
    <t xml:space="preserve">SG19 1QY</t>
  </si>
  <si>
    <t xml:space="preserve">Suffolk</t>
  </si>
  <si>
    <t xml:space="preserve">NR35 1HD</t>
  </si>
  <si>
    <t xml:space="preserve">Date:</t>
  </si>
  <si>
    <t xml:space="preserve">Reference:</t>
  </si>
  <si>
    <t xml:space="preserve">STCS0526</t>
  </si>
  <si>
    <t xml:space="preserve">Date</t>
  </si>
  <si>
    <t xml:space="preserve">Ref.</t>
  </si>
  <si>
    <t xml:space="preserve">Description</t>
  </si>
  <si>
    <t xml:space="preserve">Amount</t>
  </si>
  <si>
    <t xml:space="preserve">Payment</t>
  </si>
  <si>
    <t xml:space="preserve">Remaining</t>
  </si>
  <si>
    <t xml:space="preserve">25063</t>
  </si>
  <si>
    <t xml:space="preserve">May Commission</t>
  </si>
  <si>
    <t xml:space="preserve">June Commission</t>
  </si>
  <si>
    <t xml:space="preserve">25084</t>
  </si>
  <si>
    <t xml:space="preserve">July Commission</t>
  </si>
  <si>
    <t xml:space="preserve">25094</t>
  </si>
  <si>
    <t xml:space="preserve">August Commission</t>
  </si>
  <si>
    <t xml:space="preserve">25104</t>
  </si>
  <si>
    <t xml:space="preserve">September Commission</t>
  </si>
  <si>
    <t xml:space="preserve">October Commission</t>
  </si>
  <si>
    <t xml:space="preserve">November Commission</t>
  </si>
  <si>
    <t xml:space="preserve">April Commission</t>
  </si>
  <si>
    <t xml:space="preserve">Subtotal</t>
  </si>
  <si>
    <t xml:space="preserve">Overdue</t>
  </si>
  <si>
    <t xml:space="preserve">Thank you for your business!</t>
  </si>
  <si>
    <t xml:space="preserve">Interest</t>
  </si>
  <si>
    <r>
      <rPr>
        <b val="true"/>
        <sz val="14"/>
        <color rgb="FF000000"/>
        <rFont val="Calibri"/>
        <family val="2"/>
        <charset val="1"/>
      </rPr>
      <t xml:space="preserve">Bank Account Number:</t>
    </r>
    <r>
      <rPr>
        <sz val="14"/>
        <color rgb="FF000000"/>
        <rFont val="Calibri"/>
        <family val="2"/>
        <charset val="1"/>
      </rPr>
      <t xml:space="preserve">   60315311     </t>
    </r>
    <r>
      <rPr>
        <b val="true"/>
        <sz val="14"/>
        <color rgb="FF000000"/>
        <rFont val="Calibri"/>
        <family val="2"/>
        <charset val="1"/>
      </rPr>
      <t xml:space="preserve">Sort Code: </t>
    </r>
    <r>
      <rPr>
        <sz val="14"/>
        <color rgb="FF000000"/>
        <rFont val="Calibri"/>
        <family val="2"/>
        <charset val="1"/>
      </rPr>
      <t xml:space="preserve">20-36-98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</si>
</sst>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"/>
    <numFmt numFmtId="166" formatCode="dd/mm/yyyy"/>
    <numFmt numFmtId="167" formatCode="\$#,##0.00"/>
    <numFmt numFmtId="168" formatCode="[$£-809]#,##0.00;[RED]\-[$£-809]#,##0.00"/>
    <numFmt numFmtId="169" formatCode="#,##0.00"/>
    <numFmt numFmtId="170" formatCode="\$#,##0.00;&quot;-$&quot;#,##0.00"/>
    <numFmt numFmtId="171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26"/>
      <color theme="4" tint="-0.25"/>
      <name val="Lato"/>
      <family val="0"/>
      <charset val="1"/>
    </font>
    <font>
      <sz val="14"/>
      <color theme="1"/>
      <name val="Arial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4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rgb="FFC9211E"/>
      <name val="Arial"/>
      <family val="2"/>
      <charset val="1"/>
    </font>
    <font>
      <b val="true"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sz val="10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CCCC"/>
        <bgColor rgb="FFFFD7D7"/>
      </patternFill>
    </fill>
    <fill>
      <patternFill patternType="solid">
        <fgColor theme="4" tint="0.3999"/>
        <bgColor rgb="FF969696"/>
      </patternFill>
    </fill>
    <fill>
      <patternFill patternType="solid">
        <fgColor rgb="FFFFD7D7"/>
        <bgColor rgb="FFFFCC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5" fillId="0" borderId="0" xfId="0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64" fontId="10" fillId="0" borderId="0" xfId="0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64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64" fontId="9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4" borderId="7" xfId="0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68" fontId="5" fillId="4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3" fillId="4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9" xfId="0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68" fontId="0" fillId="2" borderId="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5" fillId="0" borderId="9" xfId="0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67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d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D7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false" showRowColHeaders="true" showZeros="false" rightToLeft="false" tabSelected="true" showOutlineSymbols="true" defaultGridColor="true" view="normal" topLeftCell="B1" colorId="64" zoomScale="100" zoomScaleNormal="100" zoomScalePageLayoutView="100" workbookViewId="0">
      <selection pane="topLeft" activeCell="P14" activeCellId="0" sqref="P14"/>
    </sheetView>
  </sheetViews>
  <sheetFormatPr defaultColWidth="8.5078125" defaultRowHeight="15" zeroHeight="false" outlineLevelRow="0" outlineLevelCol="0"/>
  <cols>
    <col collapsed="false" customWidth="true" hidden="false" outlineLevel="0" max="1" min="1" style="1" width="2.16"/>
    <col collapsed="false" customWidth="true" hidden="false" outlineLevel="0" max="2" min="2" style="2" width="2.71"/>
    <col collapsed="false" customWidth="true" hidden="false" outlineLevel="0" max="3" min="3" style="1" width="12.71"/>
    <col collapsed="false" customWidth="true" hidden="false" outlineLevel="0" max="4" min="4" style="1" width="12.86"/>
    <col collapsed="false" customWidth="true" hidden="false" outlineLevel="0" max="5" min="5" style="1" width="9.14"/>
    <col collapsed="false" customWidth="true" hidden="false" outlineLevel="0" max="6" min="6" style="1" width="9.57"/>
    <col collapsed="false" customWidth="true" hidden="false" outlineLevel="0" max="7" min="7" style="1" width="3.71"/>
    <col collapsed="false" customWidth="true" hidden="false" outlineLevel="0" max="8" min="8" style="1" width="7.16"/>
    <col collapsed="false" customWidth="true" hidden="false" outlineLevel="0" max="9" min="9" style="1" width="7.71"/>
    <col collapsed="false" customWidth="true" hidden="false" outlineLevel="0" max="10" min="10" style="1" width="14.57"/>
    <col collapsed="false" customWidth="true" hidden="false" outlineLevel="0" max="11" min="11" style="1" width="1.85"/>
    <col collapsed="false" customWidth="true" hidden="false" outlineLevel="0" max="12" min="12" style="1" width="13.57"/>
    <col collapsed="false" customWidth="true" hidden="false" outlineLevel="0" max="13" min="13" style="2" width="2.42"/>
    <col collapsed="false" customWidth="true" hidden="false" outlineLevel="0" max="14" min="14" style="2" width="2.16"/>
    <col collapsed="false" customWidth="true" hidden="false" outlineLevel="0" max="17" min="17" style="3" width="12.24"/>
  </cols>
  <sheetData>
    <row r="1" customFormat="false" ht="15" hidden="false" customHeight="false" outlineLevel="0" collapsed="false">
      <c r="A1" s="2"/>
      <c r="C1" s="4"/>
      <c r="D1" s="4"/>
      <c r="E1" s="4"/>
      <c r="F1" s="4"/>
      <c r="G1" s="4"/>
      <c r="H1" s="5" t="s">
        <v>0</v>
      </c>
      <c r="I1" s="5"/>
      <c r="J1" s="5"/>
      <c r="K1" s="5"/>
      <c r="L1" s="5"/>
    </row>
    <row r="2" customFormat="false" ht="17.35" hidden="false" customHeight="false" outlineLevel="0" collapsed="false">
      <c r="A2" s="6"/>
      <c r="B2" s="6"/>
      <c r="C2" s="7" t="s">
        <v>1</v>
      </c>
      <c r="D2" s="8"/>
      <c r="E2" s="8"/>
      <c r="F2" s="8"/>
      <c r="G2" s="8"/>
      <c r="H2" s="5"/>
      <c r="I2" s="5"/>
      <c r="J2" s="5"/>
      <c r="K2" s="5"/>
      <c r="L2" s="5"/>
      <c r="M2" s="6"/>
      <c r="N2" s="6"/>
    </row>
    <row r="3" customFormat="false" ht="15" hidden="false" customHeight="false" outlineLevel="0" collapsed="false">
      <c r="A3" s="2"/>
      <c r="C3" s="4"/>
      <c r="D3" s="4"/>
      <c r="E3" s="4"/>
      <c r="F3" s="4"/>
      <c r="G3" s="4"/>
      <c r="H3" s="5"/>
      <c r="I3" s="5"/>
      <c r="J3" s="5"/>
      <c r="K3" s="5"/>
      <c r="L3" s="5"/>
    </row>
    <row r="4" customFormat="false" ht="15" hidden="false" customHeight="false" outlineLevel="0" collapsed="false">
      <c r="A4" s="2"/>
      <c r="C4" s="9" t="s">
        <v>2</v>
      </c>
      <c r="D4" s="4"/>
      <c r="E4" s="4"/>
      <c r="F4" s="4"/>
      <c r="G4" s="4"/>
      <c r="H4" s="9"/>
      <c r="I4" s="10"/>
      <c r="J4" s="10"/>
      <c r="K4" s="10"/>
      <c r="L4" s="11"/>
      <c r="M4" s="12"/>
      <c r="N4" s="12"/>
    </row>
    <row r="5" customFormat="false" ht="17.35" hidden="false" customHeight="false" outlineLevel="0" collapsed="false">
      <c r="A5" s="2"/>
      <c r="C5" s="13" t="s">
        <v>3</v>
      </c>
      <c r="D5" s="10"/>
      <c r="E5" s="10"/>
      <c r="F5" s="10"/>
      <c r="G5" s="4"/>
      <c r="H5" s="4"/>
      <c r="I5" s="3"/>
      <c r="J5" s="3"/>
      <c r="K5" s="3"/>
      <c r="L5" s="3"/>
      <c r="M5" s="12"/>
      <c r="N5" s="12"/>
    </row>
    <row r="6" customFormat="false" ht="17.35" hidden="false" customHeight="false" outlineLevel="0" collapsed="false">
      <c r="A6" s="2"/>
      <c r="C6" s="14" t="s">
        <v>4</v>
      </c>
      <c r="D6" s="10"/>
      <c r="E6" s="10"/>
      <c r="F6" s="10"/>
      <c r="G6" s="4"/>
      <c r="H6" s="4"/>
      <c r="I6" s="15" t="s">
        <v>5</v>
      </c>
      <c r="J6" s="15"/>
      <c r="K6" s="15"/>
      <c r="L6" s="15"/>
    </row>
    <row r="7" customFormat="false" ht="17.35" hidden="false" customHeight="false" outlineLevel="0" collapsed="false">
      <c r="A7" s="2"/>
      <c r="C7" s="14" t="s">
        <v>6</v>
      </c>
      <c r="D7" s="10"/>
      <c r="E7" s="10"/>
      <c r="F7" s="10"/>
      <c r="G7" s="4"/>
      <c r="H7" s="4"/>
      <c r="I7" s="15" t="s">
        <v>7</v>
      </c>
      <c r="J7" s="15"/>
      <c r="K7" s="15"/>
      <c r="L7" s="15"/>
    </row>
    <row r="8" customFormat="false" ht="17.35" hidden="false" customHeight="false" outlineLevel="0" collapsed="false">
      <c r="A8" s="2"/>
      <c r="C8" s="14" t="s">
        <v>8</v>
      </c>
      <c r="D8" s="10"/>
      <c r="E8" s="10"/>
      <c r="F8" s="10"/>
      <c r="G8" s="4"/>
      <c r="H8" s="4"/>
      <c r="I8" s="15" t="s">
        <v>9</v>
      </c>
      <c r="J8" s="15"/>
      <c r="K8" s="15"/>
      <c r="L8" s="15"/>
    </row>
    <row r="9" customFormat="false" ht="15" hidden="false" customHeight="false" outlineLevel="0" collapsed="false">
      <c r="A9" s="2"/>
      <c r="C9" s="10"/>
      <c r="D9" s="10"/>
      <c r="E9" s="10"/>
      <c r="F9" s="10"/>
      <c r="G9" s="4"/>
      <c r="H9" s="4"/>
      <c r="I9" s="15" t="s">
        <v>10</v>
      </c>
      <c r="J9" s="15"/>
      <c r="K9" s="15"/>
      <c r="L9" s="15"/>
    </row>
    <row r="10" customFormat="false" ht="15" hidden="false" customHeight="false" outlineLevel="0" collapsed="false">
      <c r="A10" s="2"/>
      <c r="C10" s="10"/>
      <c r="D10" s="10"/>
      <c r="E10" s="10"/>
      <c r="F10" s="10"/>
      <c r="G10" s="4"/>
      <c r="H10" s="4"/>
      <c r="I10" s="15"/>
      <c r="J10" s="4"/>
      <c r="K10" s="4"/>
      <c r="L10" s="4"/>
    </row>
    <row r="11" customFormat="false" ht="15" hidden="false" customHeight="false" outlineLevel="0" collapsed="false">
      <c r="A11" s="2"/>
      <c r="C11" s="9" t="s">
        <v>11</v>
      </c>
      <c r="D11" s="16" t="n">
        <v>46160</v>
      </c>
      <c r="E11" s="16"/>
      <c r="F11" s="16"/>
      <c r="G11" s="17"/>
      <c r="H11" s="4"/>
      <c r="I11" s="4"/>
      <c r="J11" s="18" t="s">
        <v>12</v>
      </c>
      <c r="K11" s="19" t="s">
        <v>13</v>
      </c>
      <c r="L11" s="19"/>
    </row>
    <row r="12" customFormat="false" ht="15" hidden="false" customHeight="false" outlineLevel="0" collapsed="false">
      <c r="A12" s="2"/>
      <c r="C12" s="9"/>
      <c r="D12" s="15"/>
      <c r="E12" s="15"/>
      <c r="F12" s="15"/>
      <c r="G12" s="17"/>
      <c r="H12" s="4"/>
      <c r="I12" s="4"/>
      <c r="J12" s="20"/>
      <c r="K12" s="9"/>
      <c r="L12" s="21"/>
    </row>
    <row r="13" customFormat="false" ht="15" hidden="false" customHeight="false" outlineLevel="0" collapsed="false">
      <c r="A13" s="2"/>
      <c r="C13" s="4"/>
      <c r="D13" s="4"/>
      <c r="E13" s="4"/>
      <c r="F13" s="4"/>
      <c r="G13" s="4"/>
      <c r="H13" s="4"/>
      <c r="I13" s="4"/>
      <c r="J13" s="18"/>
      <c r="K13" s="22"/>
      <c r="L13" s="22"/>
    </row>
    <row r="14" customFormat="false" ht="18" hidden="false" customHeight="true" outlineLevel="0" collapsed="false">
      <c r="A14" s="2"/>
      <c r="C14" s="23" t="s">
        <v>14</v>
      </c>
      <c r="D14" s="24" t="s">
        <v>15</v>
      </c>
      <c r="E14" s="23" t="s">
        <v>16</v>
      </c>
      <c r="F14" s="23"/>
      <c r="G14" s="23"/>
      <c r="H14" s="25" t="s">
        <v>17</v>
      </c>
      <c r="I14" s="25"/>
      <c r="J14" s="23" t="s">
        <v>18</v>
      </c>
      <c r="K14" s="23" t="s">
        <v>19</v>
      </c>
      <c r="L14" s="23"/>
    </row>
    <row r="15" customFormat="false" ht="15" hidden="false" customHeight="false" outlineLevel="0" collapsed="false">
      <c r="A15" s="2"/>
      <c r="C15" s="26" t="n">
        <v>45810</v>
      </c>
      <c r="D15" s="27" t="s">
        <v>20</v>
      </c>
      <c r="E15" s="27" t="s">
        <v>21</v>
      </c>
      <c r="F15" s="27"/>
      <c r="G15" s="27"/>
      <c r="H15" s="28" t="n">
        <v>4510.65</v>
      </c>
      <c r="I15" s="28"/>
      <c r="J15" s="28"/>
      <c r="K15" s="29" t="n">
        <f aca="false">H15-J15</f>
        <v>4510.65</v>
      </c>
      <c r="L15" s="29"/>
      <c r="M15" s="30"/>
    </row>
    <row r="16" customFormat="false" ht="15" hidden="false" customHeight="false" outlineLevel="0" collapsed="false">
      <c r="A16" s="2"/>
      <c r="C16" s="26" t="n">
        <v>45839</v>
      </c>
      <c r="D16" s="31" t="n">
        <v>25073</v>
      </c>
      <c r="E16" s="27" t="s">
        <v>22</v>
      </c>
      <c r="F16" s="27"/>
      <c r="G16" s="27"/>
      <c r="H16" s="28" t="n">
        <v>2819.79</v>
      </c>
      <c r="I16" s="28"/>
      <c r="J16" s="28"/>
      <c r="K16" s="29" t="n">
        <f aca="false">H16</f>
        <v>2819.79</v>
      </c>
      <c r="L16" s="29"/>
      <c r="M16" s="30"/>
    </row>
    <row r="17" customFormat="false" ht="15" hidden="false" customHeight="false" outlineLevel="0" collapsed="false">
      <c r="A17" s="2"/>
      <c r="C17" s="26" t="n">
        <v>45874</v>
      </c>
      <c r="D17" s="27" t="s">
        <v>23</v>
      </c>
      <c r="E17" s="27" t="s">
        <v>24</v>
      </c>
      <c r="F17" s="27"/>
      <c r="G17" s="27"/>
      <c r="H17" s="28" t="n">
        <v>2104.94</v>
      </c>
      <c r="I17" s="28"/>
      <c r="J17" s="28"/>
      <c r="K17" s="29" t="n">
        <f aca="false">H17-J17</f>
        <v>2104.94</v>
      </c>
      <c r="L17" s="29"/>
      <c r="M17" s="30"/>
    </row>
    <row r="18" customFormat="false" ht="15" hidden="false" customHeight="false" outlineLevel="0" collapsed="false">
      <c r="A18" s="2"/>
      <c r="C18" s="26" t="n">
        <v>45901</v>
      </c>
      <c r="D18" s="27" t="s">
        <v>25</v>
      </c>
      <c r="E18" s="27" t="s">
        <v>26</v>
      </c>
      <c r="F18" s="27"/>
      <c r="G18" s="27"/>
      <c r="H18" s="28" t="n">
        <v>1933.35</v>
      </c>
      <c r="I18" s="28"/>
      <c r="J18" s="28"/>
      <c r="K18" s="29" t="n">
        <f aca="false">H18-J18</f>
        <v>1933.35</v>
      </c>
      <c r="L18" s="29"/>
      <c r="M18" s="30"/>
    </row>
    <row r="19" customFormat="false" ht="15" hidden="false" customHeight="false" outlineLevel="0" collapsed="false">
      <c r="A19" s="2"/>
      <c r="C19" s="26" t="n">
        <v>45932</v>
      </c>
      <c r="D19" s="27" t="s">
        <v>27</v>
      </c>
      <c r="E19" s="27" t="s">
        <v>28</v>
      </c>
      <c r="F19" s="27"/>
      <c r="G19" s="27"/>
      <c r="H19" s="28" t="n">
        <v>1358.46</v>
      </c>
      <c r="I19" s="28"/>
      <c r="J19" s="28"/>
      <c r="K19" s="29" t="n">
        <f aca="false">H19-J19</f>
        <v>1358.46</v>
      </c>
      <c r="L19" s="29"/>
      <c r="M19" s="30"/>
    </row>
    <row r="20" customFormat="false" ht="15" hidden="false" customHeight="false" outlineLevel="0" collapsed="false">
      <c r="A20" s="2"/>
      <c r="C20" s="26" t="n">
        <v>45964</v>
      </c>
      <c r="D20" s="31" t="n">
        <v>25114</v>
      </c>
      <c r="E20" s="27" t="s">
        <v>29</v>
      </c>
      <c r="F20" s="27"/>
      <c r="G20" s="27"/>
      <c r="H20" s="28" t="n">
        <v>1645.6</v>
      </c>
      <c r="I20" s="28"/>
      <c r="J20" s="28"/>
      <c r="K20" s="29" t="n">
        <f aca="false">H20</f>
        <v>1645.6</v>
      </c>
      <c r="L20" s="29"/>
      <c r="M20" s="30"/>
    </row>
    <row r="21" customFormat="false" ht="15" hidden="false" customHeight="false" outlineLevel="0" collapsed="false">
      <c r="A21" s="2"/>
      <c r="C21" s="26" t="n">
        <v>45993</v>
      </c>
      <c r="D21" s="31" t="n">
        <v>25124</v>
      </c>
      <c r="E21" s="27" t="s">
        <v>30</v>
      </c>
      <c r="F21" s="27"/>
      <c r="G21" s="27"/>
      <c r="H21" s="28" t="n">
        <v>1883.72</v>
      </c>
      <c r="I21" s="28"/>
      <c r="J21" s="28"/>
      <c r="K21" s="29" t="n">
        <f aca="false">H21</f>
        <v>1883.72</v>
      </c>
      <c r="L21" s="29"/>
      <c r="M21" s="30"/>
    </row>
    <row r="22" customFormat="false" ht="15" hidden="false" customHeight="false" outlineLevel="0" collapsed="false">
      <c r="A22" s="2"/>
      <c r="C22" s="26" t="n">
        <v>46083</v>
      </c>
      <c r="D22" s="31" t="n">
        <v>26031</v>
      </c>
      <c r="E22" s="27" t="s">
        <v>31</v>
      </c>
      <c r="F22" s="27"/>
      <c r="G22" s="27"/>
      <c r="H22" s="28" t="n">
        <v>10216.76</v>
      </c>
      <c r="I22" s="28"/>
      <c r="J22" s="28"/>
      <c r="K22" s="32" t="n">
        <f aca="false">H22-2500</f>
        <v>7716.76</v>
      </c>
      <c r="L22" s="32"/>
      <c r="M22" s="30"/>
    </row>
    <row r="23" customFormat="false" ht="15" hidden="false" customHeight="false" outlineLevel="0" collapsed="false">
      <c r="A23" s="2"/>
      <c r="C23" s="9"/>
      <c r="D23" s="4"/>
      <c r="E23" s="4"/>
      <c r="F23" s="4"/>
      <c r="G23" s="4"/>
      <c r="H23" s="4"/>
      <c r="I23" s="4"/>
      <c r="J23" s="33" t="s">
        <v>32</v>
      </c>
      <c r="K23" s="34" t="n">
        <f aca="false">SUM(K15:L22)</f>
        <v>23973.27</v>
      </c>
      <c r="L23" s="34"/>
      <c r="M23" s="30"/>
    </row>
    <row r="24" customFormat="false" ht="15" hidden="false" customHeight="false" outlineLevel="0" collapsed="false">
      <c r="A24" s="2"/>
      <c r="C24" s="9"/>
      <c r="D24" s="4"/>
      <c r="E24" s="4"/>
      <c r="F24" s="4"/>
      <c r="G24" s="4"/>
      <c r="H24" s="4"/>
      <c r="I24" s="4"/>
      <c r="J24" s="33" t="s">
        <v>33</v>
      </c>
      <c r="K24" s="35"/>
      <c r="L24" s="36" t="n">
        <f aca="false">SUM(K15:L22)</f>
        <v>23973.27</v>
      </c>
      <c r="M24" s="30"/>
    </row>
    <row r="25" customFormat="false" ht="15" hidden="false" customHeight="true" outlineLevel="0" collapsed="false">
      <c r="A25" s="2"/>
      <c r="C25" s="37" t="s">
        <v>34</v>
      </c>
      <c r="D25" s="37"/>
      <c r="E25" s="37"/>
      <c r="F25" s="37"/>
      <c r="G25" s="4"/>
      <c r="H25" s="4"/>
      <c r="I25" s="4"/>
      <c r="J25" s="33" t="s">
        <v>35</v>
      </c>
      <c r="K25" s="38"/>
      <c r="L25" s="38"/>
      <c r="M25" s="30"/>
    </row>
    <row r="26" customFormat="false" ht="15" hidden="false" customHeight="false" outlineLevel="0" collapsed="false">
      <c r="A26" s="2"/>
      <c r="C26" s="15"/>
      <c r="D26" s="8"/>
      <c r="E26" s="15"/>
      <c r="F26" s="15"/>
      <c r="G26" s="15"/>
      <c r="H26" s="15"/>
      <c r="I26" s="15"/>
      <c r="J26" s="15"/>
      <c r="K26" s="15"/>
      <c r="L26" s="15"/>
    </row>
    <row r="27" customFormat="false" ht="18.3" hidden="false" customHeight="false" outlineLevel="0" collapsed="false">
      <c r="A27" s="2"/>
      <c r="C27" s="39" t="s">
        <v>36</v>
      </c>
      <c r="D27" s="39"/>
      <c r="E27" s="39"/>
      <c r="F27" s="39"/>
      <c r="G27" s="39"/>
      <c r="H27" s="39"/>
      <c r="I27" s="39"/>
      <c r="J27" s="39"/>
      <c r="K27" s="39"/>
      <c r="L27" s="39"/>
    </row>
    <row r="28" customFormat="false" ht="6" hidden="false" customHeight="true" outlineLevel="0" collapsed="false">
      <c r="A28" s="2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3.8" hidden="false" customHeight="false" outlineLevel="0" collapsed="false">
      <c r="A29" s="2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 customFormat="false" ht="13.8" hidden="false" customHeight="false" outlineLevel="0" collapsed="false">
      <c r="A30" s="2"/>
      <c r="C30" s="9"/>
      <c r="D30" s="4"/>
      <c r="E30" s="4"/>
      <c r="F30" s="4"/>
      <c r="G30" s="4"/>
      <c r="H30" s="4"/>
      <c r="I30" s="18"/>
      <c r="J30" s="2"/>
      <c r="K30" s="2"/>
      <c r="L30" s="2"/>
    </row>
    <row r="31" customFormat="false" ht="6" hidden="false" customHeight="true" outlineLevel="0" collapsed="false">
      <c r="A31" s="2"/>
      <c r="C31" s="10"/>
      <c r="D31" s="10"/>
      <c r="E31" s="10"/>
      <c r="F31" s="10"/>
      <c r="G31" s="10"/>
      <c r="H31" s="40"/>
      <c r="I31" s="9"/>
      <c r="M31" s="41"/>
    </row>
    <row r="32" customFormat="false" ht="16.5" hidden="false" customHeight="true" outlineLevel="0" collapsed="false">
      <c r="A32" s="2"/>
      <c r="C32" s="2"/>
      <c r="D32" s="2"/>
      <c r="E32" s="2"/>
      <c r="F32" s="2"/>
      <c r="G32" s="2"/>
      <c r="H32" s="9"/>
      <c r="I32" s="4"/>
      <c r="J32" s="42"/>
      <c r="K32" s="18"/>
      <c r="L32" s="9"/>
      <c r="M32" s="41"/>
    </row>
    <row r="33" customFormat="false" ht="16.5" hidden="false" customHeight="true" outlineLevel="0" collapsed="false">
      <c r="A33" s="2"/>
      <c r="C33" s="2"/>
      <c r="D33" s="2"/>
      <c r="E33" s="2"/>
      <c r="F33" s="2"/>
      <c r="G33" s="2"/>
      <c r="H33" s="9"/>
      <c r="I33" s="4"/>
      <c r="J33" s="15"/>
      <c r="K33" s="15"/>
      <c r="L33" s="43"/>
      <c r="M33" s="41"/>
    </row>
    <row r="34" customFormat="false" ht="16.5" hidden="false" customHeight="true" outlineLevel="0" collapsed="false">
      <c r="A34" s="2"/>
      <c r="C34" s="2"/>
      <c r="D34" s="2"/>
      <c r="E34" s="2"/>
      <c r="F34" s="2"/>
      <c r="G34" s="2"/>
      <c r="H34" s="9"/>
      <c r="I34" s="9"/>
      <c r="J34" s="15"/>
      <c r="K34" s="15"/>
      <c r="L34" s="43"/>
      <c r="M34" s="41"/>
    </row>
    <row r="35" customFormat="false" ht="16.5" hidden="false" customHeight="true" outlineLevel="0" collapsed="false">
      <c r="A35" s="2"/>
      <c r="C35" s="2"/>
      <c r="D35" s="2"/>
      <c r="E35" s="2"/>
      <c r="F35" s="2"/>
      <c r="G35" s="2"/>
      <c r="H35" s="9"/>
      <c r="I35" s="4"/>
      <c r="J35" s="15"/>
      <c r="K35" s="15"/>
      <c r="L35" s="43"/>
      <c r="M35" s="41"/>
    </row>
    <row r="36" customFormat="false" ht="16.5" hidden="false" customHeight="true" outlineLevel="0" collapsed="false">
      <c r="A36" s="2"/>
      <c r="C36" s="2"/>
      <c r="D36" s="2"/>
      <c r="E36" s="2"/>
      <c r="F36" s="2"/>
      <c r="G36" s="2"/>
      <c r="H36" s="4"/>
      <c r="I36" s="4"/>
      <c r="J36" s="15"/>
      <c r="K36" s="15"/>
      <c r="L36" s="43"/>
    </row>
    <row r="37" customFormat="false" ht="16.5" hidden="false" customHeight="true" outlineLevel="0" collapsed="false">
      <c r="A37" s="2"/>
      <c r="C37" s="4"/>
      <c r="H37" s="4"/>
      <c r="I37" s="4"/>
      <c r="J37" s="15"/>
      <c r="K37" s="44"/>
      <c r="L37" s="4"/>
    </row>
    <row r="38" customFormat="false" ht="16.5" hidden="false" customHeight="true" outlineLevel="0" collapsed="false">
      <c r="D38" s="4"/>
      <c r="E38" s="44"/>
      <c r="F38" s="45"/>
      <c r="G38" s="45"/>
      <c r="J38" s="44"/>
      <c r="K38" s="15"/>
      <c r="L38" s="15"/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50">
    <mergeCell ref="H1:L3"/>
    <mergeCell ref="D4:E4"/>
    <mergeCell ref="I6:L6"/>
    <mergeCell ref="I7:L7"/>
    <mergeCell ref="I8:L8"/>
    <mergeCell ref="C9:F9"/>
    <mergeCell ref="I9:L9"/>
    <mergeCell ref="D11:F11"/>
    <mergeCell ref="K11:L11"/>
    <mergeCell ref="E14:G14"/>
    <mergeCell ref="H14:I14"/>
    <mergeCell ref="K14:L14"/>
    <mergeCell ref="E15:G15"/>
    <mergeCell ref="H15:I15"/>
    <mergeCell ref="K15:L15"/>
    <mergeCell ref="E16:G16"/>
    <mergeCell ref="H16:I16"/>
    <mergeCell ref="K16:L16"/>
    <mergeCell ref="E17:G17"/>
    <mergeCell ref="H17:I17"/>
    <mergeCell ref="K17:L17"/>
    <mergeCell ref="E18:G18"/>
    <mergeCell ref="H18:I18"/>
    <mergeCell ref="K18:L18"/>
    <mergeCell ref="E19:G19"/>
    <mergeCell ref="H19:I19"/>
    <mergeCell ref="K19:L19"/>
    <mergeCell ref="E20:G20"/>
    <mergeCell ref="H20:I20"/>
    <mergeCell ref="K20:L20"/>
    <mergeCell ref="E21:G21"/>
    <mergeCell ref="H21:I21"/>
    <mergeCell ref="K21:L21"/>
    <mergeCell ref="E22:G22"/>
    <mergeCell ref="H22:I22"/>
    <mergeCell ref="K22:L22"/>
    <mergeCell ref="K23:L23"/>
    <mergeCell ref="C25:F25"/>
    <mergeCell ref="G25:H25"/>
    <mergeCell ref="K25:L25"/>
    <mergeCell ref="C27:L27"/>
    <mergeCell ref="C29:L29"/>
    <mergeCell ref="J30:L30"/>
    <mergeCell ref="C31:G31"/>
    <mergeCell ref="C32:G32"/>
    <mergeCell ref="C33:G33"/>
    <mergeCell ref="C34:G34"/>
    <mergeCell ref="C35:G35"/>
    <mergeCell ref="C36:G36"/>
    <mergeCell ref="F38:G38"/>
  </mergeCells>
  <printOptions headings="false" gridLines="false" gridLinesSet="true" horizontalCentered="false" verticalCentered="false"/>
  <pageMargins left="0.315277777777778" right="0.315277777777778" top="0.354166666666667" bottom="0.354166666666667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Compass Statement</Template>
  <TotalTime>80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2025-05-06T12:09:24Z</dcterms:created>
  <dc:creator/>
  <dc:description/>
  <dc:language>en-GB</dc:language>
  <cp:lastModifiedBy/>
  <cp:lastPrinted>2026-03-02T18:06:41Z</cp:lastPrinted>
  <dcterms:modified xsi:type="dcterms:W3CDTF">2026-05-18T15:42:08Z</dcterms:modified>
  <cp:revision>19</cp:revision>
  <dc:subject/>
  <dc:title>Compass Statement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