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rketplace Fees &amp; Commissions" sheetId="2" state="visible" r:id="rId2"/>
    <sheet xmlns:r="http://schemas.openxmlformats.org/officeDocument/2006/relationships" name="FBA Returns &amp; Removals" sheetId="3" state="visible" r:id="rId3"/>
    <sheet xmlns:r="http://schemas.openxmlformats.org/officeDocument/2006/relationships" name="Cancellations" sheetId="4" state="visible" r:id="rId4"/>
    <sheet xmlns:r="http://schemas.openxmlformats.org/officeDocument/2006/relationships" name="Ad Spend" sheetId="5" state="visible" r:id="rId5"/>
    <sheet xmlns:r="http://schemas.openxmlformats.org/officeDocument/2006/relationships"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212121"/>
      <sz val="10"/>
    </font>
    <font>
      <color rgb="00212121"/>
      <sz val="10"/>
    </font>
    <font>
      <i val="1"/>
      <color rgb="00757575"/>
      <sz val="10"/>
    </font>
    <font>
      <b val="1"/>
      <color rgb="002E7D32"/>
      <sz val="10"/>
    </font>
    <font>
      <i val="1"/>
      <color rgb="00E65100"/>
      <sz val="9"/>
    </font>
    <font>
      <b val="1"/>
      <color rgb="000D47A1"/>
      <sz val="10"/>
    </font>
    <font>
      <i val="1"/>
      <color rgb="000D47A1"/>
      <sz val="9"/>
    </font>
  </fonts>
  <fills count="12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BBDEFB"/>
      </patternFill>
    </fill>
    <fill>
      <patternFill patternType="solid">
        <fgColor rgb="002E7D32"/>
      </patternFill>
    </fill>
  </fills>
  <borders count="3">
    <border>
      <left/>
      <right/>
      <top/>
      <bottom/>
      <diagonal/>
    </border>
    <border>
      <bottom style="thin">
        <color rgb="00E0E0E0"/>
      </bottom>
    </border>
    <border>
      <left/>
      <right/>
      <top/>
      <bottom style="thin">
        <color rgb="00E0E0E0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2" fillId="11" borderId="0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49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49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0" fontId="2" fillId="2" borderId="0" pivotButton="0" quotePrefix="0" xfId="0"/>
    <xf numFmtId="164" fontId="2" fillId="2" borderId="1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 wrapText="1" indent="1"/>
    </xf>
    <xf numFmtId="0" fontId="1" fillId="7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left" vertical="center" indent="1"/>
    </xf>
    <xf numFmtId="0" fontId="2" fillId="7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0" fillId="0" borderId="2" pivotButton="0" quotePrefix="0" xfId="0"/>
    <xf numFmtId="0" fontId="4" fillId="9" borderId="1" applyAlignment="1" pivotButton="0" quotePrefix="0" xfId="0">
      <alignment horizontal="left" vertical="center"/>
    </xf>
    <xf numFmtId="3" fontId="4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/>
    </xf>
    <xf numFmtId="3" fontId="3" fillId="9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right" vertical="center"/>
    </xf>
    <xf numFmtId="3" fontId="8" fillId="10" borderId="1" applyAlignment="1" pivotButton="0" quotePrefix="0" xfId="0">
      <alignment horizontal="right" vertical="center"/>
    </xf>
    <xf numFmtId="0" fontId="0" fillId="10" borderId="0" pivotButton="0" quotePrefix="0" xfId="0"/>
    <xf numFmtId="0" fontId="9" fillId="9" borderId="0" applyAlignment="1" pivotButton="0" quotePrefix="0" xfId="0">
      <alignment horizontal="left" vertical="center" indent="1"/>
    </xf>
    <xf numFmtId="3" fontId="4" fillId="3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2" fontId="2" fillId="2" borderId="1" applyAlignment="1" pivotButton="0" quotePrefix="0" xfId="0">
      <alignment horizontal="right" vertical="center"/>
    </xf>
    <xf numFmtId="0" fontId="2" fillId="11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 indent="1"/>
    </xf>
    <xf numFmtId="164" fontId="4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44" customWidth="1" min="4" max="4"/>
  </cols>
  <sheetData>
    <row r="1" ht="34" customHeight="1">
      <c r="A1" s="1" t="inlineStr">
        <is>
          <t>MowDirect — Monthly Cost Report  |  June 2026</t>
        </is>
      </c>
    </row>
    <row r="2" ht="4" customHeight="1"/>
    <row r="3" ht="22" customHeight="1">
      <c r="A3" s="2" t="inlineStr">
        <is>
          <t>Metric</t>
        </is>
      </c>
      <c r="B3" s="2" t="inlineStr">
        <is>
          <t>Amount (£)</t>
        </is>
      </c>
      <c r="C3" s="2" t="inlineStr">
        <is>
          <t>% of Net Revenue</t>
        </is>
      </c>
      <c r="D3" s="2" t="inlineStr">
        <is>
          <t>Notes</t>
        </is>
      </c>
    </row>
    <row r="4" ht="18" customHeight="1">
      <c r="A4" s="3" t="inlineStr">
        <is>
          <t>Net Revenue (all channels, ex-VAT)</t>
        </is>
      </c>
      <c r="B4" s="4">
        <f>'Marketplace Fees &amp; Commissions'!D21</f>
        <v/>
      </c>
      <c r="C4" s="5">
        <f>IFERROR(B4/B4,0)</f>
        <v/>
      </c>
      <c r="D4" s="6" t="inlineStr">
        <is>
          <t>Shopify Direct + eBay + Amazon + ManoMano + OnBuy + B&amp;Q</t>
        </is>
      </c>
    </row>
    <row r="5" ht="8" customHeight="1"/>
    <row r="6" ht="18" customHeight="1">
      <c r="A6" s="3" t="inlineStr">
        <is>
          <t>Marketplace commissions &amp; fees</t>
        </is>
      </c>
      <c r="B6" s="4">
        <f>'Marketplace Fees &amp; Commissions'!C21</f>
        <v/>
      </c>
      <c r="C6" s="5">
        <f>IFERROR(B6/B4,0)</f>
        <v/>
      </c>
      <c r="D6" s="6" t="inlineStr">
        <is>
          <t>Referral fees, subscriptions, listing charges — see Marketplace Fees tab</t>
        </is>
      </c>
    </row>
    <row r="7" ht="18" customHeight="1">
      <c r="A7" s="3" t="inlineStr">
        <is>
          <t>Commission paid to Wayne Theisinger</t>
        </is>
      </c>
      <c r="B7" s="4">
        <f>B4*0.04</f>
        <v/>
      </c>
      <c r="C7" s="5">
        <f>IFERROR(B7/B4,0)</f>
        <v/>
      </c>
      <c r="D7" s="6" t="inlineStr">
        <is>
          <t>4% of Net Revenue across all channels (pre-audit estimate).</t>
        </is>
      </c>
    </row>
    <row r="8" ht="18" customHeight="1">
      <c r="A8" s="3" t="inlineStr">
        <is>
          <t>Total paid ad spend</t>
        </is>
      </c>
      <c r="B8" s="4">
        <f>'Ad Spend'!C6</f>
        <v/>
      </c>
      <c r="C8" s="5">
        <f>IFERROR(B8/B4,0)</f>
        <v/>
      </c>
      <c r="D8" s="6" t="inlineStr">
        <is>
          <t>Google Ads + eBay Promoted Listings</t>
        </is>
      </c>
    </row>
    <row r="9" ht="8" customHeight="1"/>
    <row r="10" ht="18" customHeight="1">
      <c r="A10" s="7" t="inlineStr">
        <is>
          <t>Total deductions (fees + commission + ads)</t>
        </is>
      </c>
      <c r="B10" s="8">
        <f>B6+B7+B8</f>
        <v/>
      </c>
      <c r="C10" s="9">
        <f>IFERROR(B10/B4,0)</f>
        <v/>
      </c>
      <c r="D10" s="10" t="inlineStr">
        <is>
          <t>All costs combined</t>
        </is>
      </c>
    </row>
    <row r="11" ht="18" customHeight="1">
      <c r="A11" s="7" t="inlineStr">
        <is>
          <t>Contribution after deductions</t>
        </is>
      </c>
      <c r="B11" s="8">
        <f>B4-B10</f>
        <v/>
      </c>
      <c r="C11" s="9">
        <f>IFERROR(B11/B4,0)</f>
        <v/>
      </c>
      <c r="D11" s="10" t="inlineStr">
        <is>
          <t>Net revenue minus all marketplace costs.</t>
        </is>
      </c>
    </row>
    <row r="13" ht="20" customHeight="1">
      <c r="A13" s="11" t="inlineStr">
        <is>
          <t xml:space="preserve">  Commissions &amp; Fees by Channel</t>
        </is>
      </c>
    </row>
    <row r="14" ht="22" customHeight="1">
      <c r="A14" s="2" t="inlineStr">
        <is>
          <t>Channel</t>
        </is>
      </c>
      <c r="B14" s="2" t="inlineStr">
        <is>
          <t>Net Revenue (£)</t>
        </is>
      </c>
      <c r="C14" s="2" t="inlineStr">
        <is>
          <t>Commissions &amp; Fees (£)</t>
        </is>
      </c>
      <c r="D14" s="2" t="inlineStr">
        <is>
          <t>Fee %</t>
        </is>
      </c>
    </row>
    <row r="15">
      <c r="A15" s="12" t="inlineStr">
        <is>
          <t>Shopify Direct</t>
        </is>
      </c>
      <c r="B15" s="4">
        <f>'Marketplace Fees &amp; Commissions'!D5</f>
        <v/>
      </c>
      <c r="C15" s="4">
        <f>'Marketplace Fees &amp; Commissions'!C5</f>
        <v/>
      </c>
      <c r="D15" s="5">
        <f>IFERROR(C15/B15,0)</f>
        <v/>
      </c>
    </row>
    <row r="16">
      <c r="A16" s="13" t="inlineStr">
        <is>
          <t>eBay</t>
        </is>
      </c>
      <c r="B16" s="14">
        <f>'Marketplace Fees &amp; Commissions'!D13</f>
        <v/>
      </c>
      <c r="C16" s="14">
        <f>'Marketplace Fees &amp; Commissions'!C13</f>
        <v/>
      </c>
      <c r="D16" s="15">
        <f>IFERROR(C16/B16,0)</f>
        <v/>
      </c>
    </row>
    <row r="17">
      <c r="A17" s="12" t="inlineStr">
        <is>
          <t>Amazon</t>
        </is>
      </c>
      <c r="B17" s="4">
        <f>'Marketplace Fees &amp; Commissions'!D18</f>
        <v/>
      </c>
      <c r="C17" s="4">
        <f>'Marketplace Fees &amp; Commissions'!C18</f>
        <v/>
      </c>
      <c r="D17" s="5">
        <f>IFERROR(C17/B17,0)</f>
        <v/>
      </c>
    </row>
    <row r="18">
      <c r="A18" s="13" t="inlineStr">
        <is>
          <t>B&amp;Q (Mirakl)</t>
        </is>
      </c>
      <c r="B18" s="14">
        <f>'Marketplace Fees &amp; Commissions'!D20</f>
        <v/>
      </c>
      <c r="C18" s="14">
        <f>'Marketplace Fees &amp; Commissions'!C20</f>
        <v/>
      </c>
      <c r="D18" s="15">
        <f>IFERROR(C18/B18,0)</f>
        <v/>
      </c>
    </row>
    <row r="19">
      <c r="A19" s="16" t="inlineStr">
        <is>
          <t>TOTAL</t>
        </is>
      </c>
      <c r="B19" s="8">
        <f>SUM(B15:B18)</f>
        <v/>
      </c>
      <c r="C19" s="8">
        <f>SUM(C15:C18)</f>
        <v/>
      </c>
      <c r="D19" s="9">
        <f>IFERROR(C19/B19,0)</f>
        <v/>
      </c>
    </row>
    <row r="21" ht="20" customHeight="1">
      <c r="A21" s="11" t="inlineStr">
        <is>
          <t xml:space="preserve">  Ad Spend by Platform</t>
        </is>
      </c>
    </row>
    <row r="22" ht="22" customHeight="1">
      <c r="A22" s="2" t="inlineStr">
        <is>
          <t>Platform</t>
        </is>
      </c>
      <c r="B22" s="2" t="inlineStr">
        <is>
          <t>Spend (£)</t>
        </is>
      </c>
      <c r="C22" s="2" t="inlineStr">
        <is>
          <t>% of Net Revenue</t>
        </is>
      </c>
      <c r="D22" s="2" t="inlineStr">
        <is>
          <t>Note / Coverage</t>
        </is>
      </c>
    </row>
    <row r="23">
      <c r="A23" s="12" t="inlineStr">
        <is>
          <t>Google Ads</t>
        </is>
      </c>
      <c r="B23" s="4">
        <f>'Ad Spend'!C4</f>
        <v/>
      </c>
      <c r="C23" s="5">
        <f>IFERROR(B23/B4,0)</f>
        <v/>
      </c>
      <c r="D23" s="17" t="inlineStr">
        <is>
          <t>COMPLETE</t>
        </is>
      </c>
    </row>
    <row r="24">
      <c r="A24" s="13" t="inlineStr">
        <is>
          <t>eBay Promoted Listings</t>
        </is>
      </c>
      <c r="B24" s="14" t="n">
        <v>0</v>
      </c>
      <c r="C24" s="15">
        <f>IFERROR(B24/B4,0)</f>
        <v/>
      </c>
      <c r="D24" s="17" t="inlineStr">
        <is>
          <t>COMPLETE</t>
        </is>
      </c>
    </row>
    <row r="25">
      <c r="A25" s="16" t="inlineStr">
        <is>
          <t>TOTAL</t>
        </is>
      </c>
      <c r="B25" s="8">
        <f>SUM(B23:B24)</f>
        <v/>
      </c>
      <c r="C25" s="9">
        <f>IFERROR(B25/B4,0)</f>
        <v/>
      </c>
      <c r="D25" s="18" t="n"/>
    </row>
  </sheetData>
  <mergeCells count="3">
    <mergeCell ref="A1:D1"/>
    <mergeCell ref="A13:D13"/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16" customWidth="1" min="4" max="4"/>
    <col width="14" customWidth="1" min="5" max="5"/>
    <col width="26" customWidth="1" min="6" max="6"/>
    <col width="16" customWidth="1" min="7" max="7"/>
  </cols>
  <sheetData>
    <row r="1" ht="34" customHeight="1">
      <c r="A1" s="1" t="inlineStr">
        <is>
          <t>Marketplace Commissions &amp; Fees  |  June 2026</t>
        </is>
      </c>
    </row>
    <row r="2" ht="4" customHeight="1"/>
    <row r="3" ht="22" customHeight="1">
      <c r="A3" s="2" t="inlineStr">
        <is>
          <t>Channel</t>
        </is>
      </c>
      <c r="B3" s="2" t="inlineStr">
        <is>
          <t>Fee Type</t>
        </is>
      </c>
      <c r="C3" s="2" t="inlineStr">
        <is>
          <t>Amount (£)</t>
        </is>
      </c>
      <c r="D3" s="2" t="inlineStr">
        <is>
          <t>Net Channel Revenue (£)</t>
        </is>
      </c>
      <c r="E3" s="2" t="inlineStr">
        <is>
          <t>Fee as % of Net Revenue</t>
        </is>
      </c>
      <c r="F3" s="2" t="inlineStr">
        <is>
          <t>Data Source</t>
        </is>
      </c>
      <c r="G3" s="2" t="inlineStr">
        <is>
          <t>Coverage</t>
        </is>
      </c>
    </row>
    <row r="4">
      <c r="A4" s="13" t="inlineStr">
        <is>
          <t>Shopify Direct</t>
        </is>
      </c>
      <c r="B4" s="19" t="inlineStr">
        <is>
          <t>Payment processing fees</t>
        </is>
      </c>
      <c r="C4" s="14" t="n">
        <v>3569.39</v>
      </c>
      <c r="D4" s="14" t="n">
        <v>148716.41</v>
      </c>
      <c r="E4" s="15">
        <f>IFERROR(C4/D4,0)</f>
        <v/>
      </c>
      <c r="F4" s="20" t="inlineStr">
        <is>
          <t>Shopify GraphQL</t>
        </is>
      </c>
      <c r="G4" s="17" t="inlineStr">
        <is>
          <t>COMPLETE</t>
        </is>
      </c>
    </row>
    <row r="5">
      <c r="A5" s="16" t="inlineStr">
        <is>
          <t>Shopify Direct subtotal</t>
        </is>
      </c>
      <c r="B5" s="18" t="n"/>
      <c r="C5" s="8">
        <f>SUM(C4:C4)</f>
        <v/>
      </c>
      <c r="D5" s="8">
        <f>D4</f>
        <v/>
      </c>
      <c r="E5" s="9">
        <f>IFERROR(C5/D5,0)</f>
        <v/>
      </c>
      <c r="F5" s="18" t="n"/>
      <c r="G5" s="18" t="n"/>
    </row>
    <row r="6">
      <c r="A6" s="13" t="inlineStr">
        <is>
          <t>eBay</t>
        </is>
      </c>
      <c r="B6" s="19" t="inlineStr">
        <is>
          <t>Final value fees</t>
        </is>
      </c>
      <c r="C6" s="14" t="n">
        <v>1528.99</v>
      </c>
      <c r="D6" s="14" t="n">
        <v>10526.13</v>
      </c>
      <c r="E6" s="15">
        <f>IFERROR(C6/D6,0)</f>
        <v/>
      </c>
      <c r="F6" s="20" t="inlineStr">
        <is>
          <t>eBay Finances API</t>
        </is>
      </c>
      <c r="G6" s="17" t="inlineStr">
        <is>
          <t>COMPLETE</t>
        </is>
      </c>
    </row>
    <row r="7">
      <c r="A7" s="3" t="inlineStr"/>
      <c r="B7" s="3" t="inlineStr">
        <is>
          <t>Regulatory operating fee</t>
        </is>
      </c>
      <c r="C7" s="4" t="n">
        <v>49.11</v>
      </c>
      <c r="D7" s="21" t="n"/>
      <c r="E7" s="5">
        <f>IFERROR(C7/D6,0)</f>
        <v/>
      </c>
      <c r="F7" s="6" t="inlineStr"/>
      <c r="G7" s="22" t="inlineStr"/>
    </row>
    <row r="8">
      <c r="A8" s="19" t="inlineStr"/>
      <c r="B8" s="19" t="inlineStr">
        <is>
          <t>Fixed per-order fee</t>
        </is>
      </c>
      <c r="C8" s="14" t="n">
        <v>4.4</v>
      </c>
      <c r="D8" s="23" t="n"/>
      <c r="E8" s="15">
        <f>IFERROR(C8/D6,0)</f>
        <v/>
      </c>
      <c r="F8" s="20" t="inlineStr"/>
      <c r="G8" s="24" t="inlineStr"/>
    </row>
    <row r="9">
      <c r="A9" s="3" t="inlineStr"/>
      <c r="B9" s="3" t="inlineStr">
        <is>
          <t>Other eBay charges</t>
        </is>
      </c>
      <c r="C9" s="4" t="n">
        <v>27</v>
      </c>
      <c r="D9" s="21" t="n"/>
      <c r="E9" s="5">
        <f>IFERROR(C9/D6,0)</f>
        <v/>
      </c>
      <c r="F9" s="6" t="inlineStr"/>
      <c r="G9" s="22" t="inlineStr"/>
    </row>
    <row r="10">
      <c r="A10" s="19" t="inlineStr"/>
      <c r="B10" s="19" t="inlineStr">
        <is>
          <t>Payment Dispute Fee</t>
        </is>
      </c>
      <c r="C10" s="14" t="n">
        <v>11.67</v>
      </c>
      <c r="D10" s="23" t="n"/>
      <c r="E10" s="15">
        <f>IFERROR(C10/D6,0)</f>
        <v/>
      </c>
      <c r="F10" s="20" t="inlineStr"/>
      <c r="G10" s="24" t="inlineStr"/>
    </row>
    <row r="11">
      <c r="A11" s="3" t="inlineStr"/>
      <c r="B11" s="3" t="inlineStr">
        <is>
          <t>Insertion fees</t>
        </is>
      </c>
      <c r="C11" s="4" t="n">
        <v>0.1</v>
      </c>
      <c r="D11" s="21" t="n"/>
      <c r="E11" s="5">
        <f>IFERROR(C11/D6,0)</f>
        <v/>
      </c>
      <c r="F11" s="6" t="inlineStr"/>
      <c r="G11" s="22" t="inlineStr"/>
    </row>
    <row r="12">
      <c r="A12" s="19" t="inlineStr"/>
      <c r="B12" s="19" t="inlineStr">
        <is>
          <t>Fee credits (refunds from eBay)</t>
        </is>
      </c>
      <c r="C12" s="14" t="n">
        <v>-1166.66</v>
      </c>
      <c r="D12" s="23" t="n"/>
      <c r="E12" s="15">
        <f>IFERROR(C12/D6,0)</f>
        <v/>
      </c>
      <c r="F12" s="20" t="inlineStr"/>
      <c r="G12" s="24" t="inlineStr"/>
    </row>
    <row r="13">
      <c r="A13" s="16" t="inlineStr">
        <is>
          <t>eBay subtotal</t>
        </is>
      </c>
      <c r="B13" s="18" t="n"/>
      <c r="C13" s="8">
        <f>SUM(C6:C12)</f>
        <v/>
      </c>
      <c r="D13" s="8">
        <f>D6</f>
        <v/>
      </c>
      <c r="E13" s="9">
        <f>IFERROR(C13/D13,0)</f>
        <v/>
      </c>
      <c r="F13" s="18" t="n"/>
      <c r="G13" s="18" t="n"/>
    </row>
    <row r="14">
      <c r="A14" s="13" t="inlineStr">
        <is>
          <t>Amazon</t>
        </is>
      </c>
      <c r="B14" s="19" t="inlineStr">
        <is>
          <t>Commission</t>
        </is>
      </c>
      <c r="C14" s="14" t="n">
        <v>187.18</v>
      </c>
      <c r="D14" s="14" t="n">
        <v>4864.98</v>
      </c>
      <c r="E14" s="15">
        <f>IFERROR(C14/D14,0)</f>
        <v/>
      </c>
      <c r="F14" s="20" t="inlineStr">
        <is>
          <t>SP-API Finances (Principal) · correct to: 29 Jun 2026</t>
        </is>
      </c>
      <c r="G14" s="17" t="inlineStr">
        <is>
          <t>COMPLETE</t>
        </is>
      </c>
    </row>
    <row r="15">
      <c r="A15" s="3" t="inlineStr"/>
      <c r="B15" s="3" t="inlineStr">
        <is>
          <t>DigitalServicesFee</t>
        </is>
      </c>
      <c r="C15" s="4" t="n">
        <v>9.75</v>
      </c>
      <c r="D15" s="21" t="n"/>
      <c r="E15" s="5">
        <f>IFERROR(C15/D14,0)</f>
        <v/>
      </c>
      <c r="F15" s="6" t="inlineStr"/>
      <c r="G15" s="22" t="inlineStr"/>
    </row>
    <row r="16">
      <c r="A16" s="19" t="inlineStr"/>
      <c r="B16" s="19" t="inlineStr">
        <is>
          <t>RefundCommission</t>
        </is>
      </c>
      <c r="C16" s="14" t="n">
        <v>33</v>
      </c>
      <c r="D16" s="23" t="n"/>
      <c r="E16" s="15">
        <f>IFERROR(C16/D14,0)</f>
        <v/>
      </c>
      <c r="F16" s="20" t="inlineStr"/>
      <c r="G16" s="24" t="inlineStr"/>
    </row>
    <row r="17">
      <c r="A17" s="3" t="inlineStr"/>
      <c r="B17" s="3" t="inlineStr">
        <is>
          <t>Subscription</t>
        </is>
      </c>
      <c r="C17" s="4" t="n">
        <v>25</v>
      </c>
      <c r="D17" s="21" t="n"/>
      <c r="E17" s="5">
        <f>IFERROR(C17/D14,0)</f>
        <v/>
      </c>
      <c r="F17" s="6" t="inlineStr"/>
      <c r="G17" s="22" t="inlineStr"/>
    </row>
    <row r="18">
      <c r="A18" s="16" t="inlineStr">
        <is>
          <t>Amazon subtotal</t>
        </is>
      </c>
      <c r="B18" s="18" t="n"/>
      <c r="C18" s="8">
        <f>SUM(C14:C17)</f>
        <v/>
      </c>
      <c r="D18" s="8">
        <f>D14</f>
        <v/>
      </c>
      <c r="E18" s="9">
        <f>IFERROR(C18/D18,0)</f>
        <v/>
      </c>
      <c r="F18" s="18" t="n"/>
      <c r="G18" s="18" t="n"/>
    </row>
    <row r="19">
      <c r="A19" s="12" t="inlineStr">
        <is>
          <t>B&amp;Q (Mirakl)</t>
        </is>
      </c>
      <c r="B19" s="3" t="inlineStr">
        <is>
          <t>Commission</t>
        </is>
      </c>
      <c r="C19" s="4" t="n">
        <v>6528.39</v>
      </c>
      <c r="D19" s="4" t="n">
        <v>66222.62</v>
      </c>
      <c r="E19" s="5">
        <f>IFERROR(C19/D19,0)</f>
        <v/>
      </c>
      <c r="F19" s="6" t="inlineStr">
        <is>
          <t>Mirakl API</t>
        </is>
      </c>
      <c r="G19" s="17" t="inlineStr">
        <is>
          <t>COMPLETE</t>
        </is>
      </c>
    </row>
    <row r="20">
      <c r="A20" s="16" t="inlineStr">
        <is>
          <t>B&amp;Q (Mirakl) subtotal</t>
        </is>
      </c>
      <c r="B20" s="18" t="n"/>
      <c r="C20" s="8">
        <f>SUM(C19:C19)</f>
        <v/>
      </c>
      <c r="D20" s="8">
        <f>D19</f>
        <v/>
      </c>
      <c r="E20" s="9">
        <f>IFERROR(C20/D20,0)</f>
        <v/>
      </c>
      <c r="F20" s="18" t="n"/>
      <c r="G20" s="18" t="n"/>
    </row>
    <row r="21" ht="18" customHeight="1">
      <c r="A21" s="25" t="inlineStr">
        <is>
          <t>GRAND TOTAL — MARKETPLACE FEES</t>
        </is>
      </c>
      <c r="B21" s="26" t="n"/>
      <c r="C21" s="27">
        <f>C5+C13+C18+C20</f>
        <v/>
      </c>
      <c r="D21" s="27">
        <f>D5+D13+D18+D20</f>
        <v/>
      </c>
      <c r="E21" s="28">
        <f>IFERROR(C21/D21,0)</f>
        <v/>
      </c>
      <c r="F21" s="26" t="n"/>
      <c r="G21" s="26" t="n"/>
    </row>
    <row r="23" ht="58" customHeight="1">
      <c r="A23" s="29" t="inlineStr">
        <is>
          <t>ℹ  Margin note — Amazon's referral fee is ~15% of GROSS (inc-VAT) sales, which works out to a HIGHER share of NET (ex-VAT) revenue — ~18-19%, as shown above. This is a real effect to be aware of: Amazon's effective cost against net revenue genuinely exceeds the 15% headline rate. It is surfaced here deliberately rather than masked. (Fees are already shown ex-VAT — the reclaimable 20% VAT Amazon charges on its fees has been removed.)</t>
        </is>
      </c>
    </row>
  </sheetData>
  <mergeCells count="2">
    <mergeCell ref="A1:G1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6" customWidth="1" min="4" max="4"/>
    <col width="38" customWidth="1" min="5" max="5"/>
  </cols>
  <sheetData>
    <row r="1" ht="34" customHeight="1">
      <c r="A1" s="30" t="inlineStr">
        <is>
          <t>Amazon FBA — Returns, Removals &amp; Stranded Stock  |  June 2026</t>
        </is>
      </c>
    </row>
    <row r="2" ht="4" customHeight="1"/>
    <row r="3" ht="20" customHeight="1">
      <c r="A3" s="31" t="inlineStr">
        <is>
          <t xml:space="preserve">  Customer Returns Received by Amazon</t>
        </is>
      </c>
    </row>
    <row r="4" ht="22" customHeight="1">
      <c r="A4" s="32" t="inlineStr">
        <is>
          <t>Disposition</t>
        </is>
      </c>
      <c r="B4" s="32" t="inlineStr">
        <is>
          <t>Units</t>
        </is>
      </c>
      <c r="C4" s="32" t="inlineStr">
        <is>
          <t>Lines</t>
        </is>
      </c>
      <c r="D4" s="32" t="inlineStr">
        <is>
          <t>% of Returns</t>
        </is>
      </c>
      <c r="E4" s="32" t="inlineStr">
        <is>
          <t>Notes</t>
        </is>
      </c>
    </row>
    <row r="5">
      <c r="A5" s="33" t="inlineStr">
        <is>
          <t>No customer returns received this month.</t>
        </is>
      </c>
      <c r="B5" s="34" t="n"/>
      <c r="C5" s="34" t="n"/>
      <c r="D5" s="34" t="n"/>
      <c r="E5" s="34" t="n"/>
    </row>
    <row r="6" ht="20" customHeight="1">
      <c r="A6" s="31" t="inlineStr">
        <is>
          <t xml:space="preserve">  Removal Shipments (units processed by Amazon this month)</t>
        </is>
      </c>
    </row>
    <row r="7" ht="22" customHeight="1">
      <c r="A7" s="32" t="inlineStr">
        <is>
          <t>Order Type</t>
        </is>
      </c>
      <c r="B7" s="32" t="inlineStr">
        <is>
          <t>Units</t>
        </is>
      </c>
      <c r="C7" s="32" t="inlineStr">
        <is>
          <t>Shipments</t>
        </is>
      </c>
      <c r="D7" s="32" t="inlineStr"/>
      <c r="E7" s="32" t="inlineStr">
        <is>
          <t>Meaning</t>
        </is>
      </c>
    </row>
    <row r="8">
      <c r="A8" s="33" t="inlineStr">
        <is>
          <t>No removal shipments processed this month.</t>
        </is>
      </c>
      <c r="B8" s="34" t="n"/>
      <c r="C8" s="34" t="n"/>
      <c r="D8" s="34" t="n"/>
      <c r="E8" s="34" t="n"/>
    </row>
    <row r="10" ht="20" customHeight="1">
      <c r="A10" s="31" t="inlineStr">
        <is>
          <t xml:space="preserve">  Removal &amp; Disposal Costs (from Amazon Finances)</t>
        </is>
      </c>
    </row>
    <row r="11" ht="22" customHeight="1">
      <c r="A11" s="32" t="inlineStr">
        <is>
          <t>Fee Type</t>
        </is>
      </c>
      <c r="B11" s="32" t="inlineStr">
        <is>
          <t>Amount (£)</t>
        </is>
      </c>
      <c r="C11" s="32" t="inlineStr"/>
      <c r="D11" s="32" t="inlineStr"/>
      <c r="E11" s="32" t="inlineStr">
        <is>
          <t>Notes</t>
        </is>
      </c>
    </row>
    <row r="12">
      <c r="A12" s="33" t="inlineStr">
        <is>
          <t>No removal / disposal fees billed this month.</t>
        </is>
      </c>
      <c r="B12" s="34" t="n"/>
      <c r="C12" s="34" t="n"/>
      <c r="D12" s="34" t="n"/>
      <c r="E12" s="34" t="n"/>
    </row>
    <row r="14" ht="20" customHeight="1">
      <c r="A14" s="31" t="inlineStr">
        <is>
          <t xml:space="preserve">  Current Inventory Snapshot — units sitting at Amazon today</t>
        </is>
      </c>
    </row>
    <row r="15" ht="22" customHeight="1">
      <c r="A15" s="32" t="inlineStr">
        <is>
          <t>Bucket</t>
        </is>
      </c>
      <c r="B15" s="32" t="inlineStr">
        <is>
          <t>Units</t>
        </is>
      </c>
      <c r="C15" s="32" t="inlineStr"/>
      <c r="D15" s="32" t="inlineStr"/>
      <c r="E15" s="32" t="inlineStr">
        <is>
          <t>Meaning</t>
        </is>
      </c>
    </row>
    <row r="16">
      <c r="A16" s="35" t="inlineStr">
        <is>
          <t>Fulfillable (sellable)</t>
        </is>
      </c>
      <c r="B16" s="36" t="n">
        <v>846</v>
      </c>
      <c r="C16" s="37" t="inlineStr"/>
      <c r="D16" s="37" t="inlineStr"/>
      <c r="E16" s="33" t="inlineStr">
        <is>
          <t>Active inventory available to ship to customers.</t>
        </is>
      </c>
    </row>
    <row r="17">
      <c r="A17" s="12" t="inlineStr">
        <is>
          <t>Unfulfillable</t>
        </is>
      </c>
      <c r="B17" s="38" t="n">
        <v>0</v>
      </c>
      <c r="C17" s="22" t="inlineStr"/>
      <c r="D17" s="22" t="inlineStr"/>
      <c r="E17" s="6" t="inlineStr">
        <is>
          <t>Stranded — could be removed or disposed.</t>
        </is>
      </c>
    </row>
    <row r="18">
      <c r="A18" s="39" t="inlineStr">
        <is>
          <t>Researching</t>
        </is>
      </c>
      <c r="B18" s="40" t="n">
        <v>0</v>
      </c>
      <c r="C18" s="37" t="inlineStr"/>
      <c r="D18" s="37" t="inlineStr"/>
      <c r="E18" s="33" t="inlineStr">
        <is>
          <t>Lost/damaged claims under investigation by Amazon.</t>
        </is>
      </c>
    </row>
    <row r="19">
      <c r="A19" s="3" t="inlineStr">
        <is>
          <t>Inbound working</t>
        </is>
      </c>
      <c r="B19" s="41" t="n">
        <v>0</v>
      </c>
      <c r="C19" s="22" t="inlineStr"/>
      <c r="D19" s="22" t="inlineStr"/>
      <c r="E19" s="6" t="inlineStr">
        <is>
          <t>Shipment created in Seller Central but not yet sent.</t>
        </is>
      </c>
    </row>
    <row r="20">
      <c r="A20" s="35" t="inlineStr">
        <is>
          <t>Inbound shipped</t>
        </is>
      </c>
      <c r="B20" s="36" t="n">
        <v>0</v>
      </c>
      <c r="C20" s="37" t="inlineStr"/>
      <c r="D20" s="37" t="inlineStr"/>
      <c r="E20" s="33" t="inlineStr">
        <is>
          <t>In transit from MowDirect/supplier to fulfilment centre.</t>
        </is>
      </c>
    </row>
    <row r="21">
      <c r="A21" s="3" t="inlineStr">
        <is>
          <t>Inbound receiving</t>
        </is>
      </c>
      <c r="B21" s="41" t="n">
        <v>0</v>
      </c>
      <c r="C21" s="22" t="inlineStr"/>
      <c r="D21" s="22" t="inlineStr"/>
      <c r="E21" s="6" t="inlineStr">
        <is>
          <t>Arrived at FC, being checked in.</t>
        </is>
      </c>
    </row>
    <row r="22">
      <c r="A22" s="42" t="inlineStr">
        <is>
          <t>AVAILABLE TO BE PICKED UP / DISPOSED</t>
        </is>
      </c>
      <c r="B22" s="43">
        <f>B17+B18</f>
        <v/>
      </c>
      <c r="C22" s="44" t="n"/>
      <c r="D22" s="44" t="n"/>
      <c r="E22" s="44" t="n"/>
    </row>
    <row r="24" ht="20" customHeight="1">
      <c r="A24" s="45" t="inlineStr">
        <is>
          <t>ℹ  Inventory snapshot covers 28 active FBA SKUs at the time of report generation. Customer-returns and removal-shipment figures cover the reporting month only.</t>
        </is>
      </c>
    </row>
  </sheetData>
  <mergeCells count="9">
    <mergeCell ref="A12:E12"/>
    <mergeCell ref="A24:E24"/>
    <mergeCell ref="A14:E14"/>
    <mergeCell ref="A10:E10"/>
    <mergeCell ref="A1:E1"/>
    <mergeCell ref="A5:E5"/>
    <mergeCell ref="A8:E8"/>
    <mergeCell ref="A6:E6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2" customWidth="1" min="3" max="3"/>
    <col width="16" customWidth="1" min="4" max="4"/>
    <col width="38" customWidth="1" min="5" max="5"/>
  </cols>
  <sheetData>
    <row r="1" ht="34" customHeight="1">
      <c r="A1" s="1" t="inlineStr">
        <is>
          <t>Order Cancellations  |  June 2026</t>
        </is>
      </c>
    </row>
    <row r="2" ht="4" customHeight="1"/>
    <row r="3" ht="22" customHeight="1">
      <c r="A3" s="2" t="inlineStr">
        <is>
          <t>Channel</t>
        </is>
      </c>
      <c r="B3" s="2" t="inlineStr">
        <is>
          <t>Reason / Attribution</t>
        </is>
      </c>
      <c r="C3" s="2" t="inlineStr">
        <is>
          <t>Orders</t>
        </is>
      </c>
      <c r="D3" s="2" t="inlineStr">
        <is>
          <t>Value (£)</t>
        </is>
      </c>
      <c r="E3" s="2" t="inlineStr">
        <is>
          <t>Notes / Coverage</t>
        </is>
      </c>
    </row>
    <row r="4">
      <c r="A4" s="13" t="inlineStr">
        <is>
          <t>Shopify Direct</t>
        </is>
      </c>
      <c r="B4" s="19" t="inlineStr">
        <is>
          <t>Unknown</t>
        </is>
      </c>
      <c r="C4" s="46" t="n">
        <v>9</v>
      </c>
      <c r="D4" s="14" t="n">
        <v>10653.21</v>
      </c>
      <c r="E4" s="17" t="inlineStr">
        <is>
          <t>COMPLETE</t>
        </is>
      </c>
    </row>
    <row r="5">
      <c r="A5" s="16" t="inlineStr">
        <is>
          <t>Shopify Direct subtotal</t>
        </is>
      </c>
      <c r="B5" s="18" t="n"/>
      <c r="C5" s="47">
        <f>SUM(C4:C4)</f>
        <v/>
      </c>
      <c r="D5" s="8">
        <f>SUM(D4:D4)</f>
        <v/>
      </c>
      <c r="E5" s="18" t="n"/>
    </row>
    <row r="6">
      <c r="A6" s="13" t="inlineStr">
        <is>
          <t>Amazon</t>
        </is>
      </c>
      <c r="B6" s="19" t="inlineStr">
        <is>
          <t>Cancelled (attribution not exposed by SP-API; £ figure covers 0 of 3 orders)</t>
        </is>
      </c>
      <c r="C6" s="46" t="n">
        <v>3</v>
      </c>
      <c r="D6" s="14" t="n">
        <v>0</v>
      </c>
      <c r="E6" s="17" t="inlineStr">
        <is>
          <t>COMPLETE</t>
        </is>
      </c>
    </row>
    <row r="7">
      <c r="A7" s="16" t="inlineStr">
        <is>
          <t>Amazon subtotal</t>
        </is>
      </c>
      <c r="B7" s="18" t="n"/>
      <c r="C7" s="47">
        <f>SUM(C6:C6)</f>
        <v/>
      </c>
      <c r="D7" s="8">
        <f>SUM(D6:D6)</f>
        <v/>
      </c>
      <c r="E7" s="18" t="n"/>
    </row>
    <row r="8">
      <c r="A8" s="13" t="inlineStr">
        <is>
          <t>B&amp;Q (Mirakl)</t>
        </is>
      </c>
      <c r="B8" s="20" t="inlineStr">
        <is>
          <t>No cancellations this month.</t>
        </is>
      </c>
      <c r="C8" s="46" t="n">
        <v>0</v>
      </c>
      <c r="D8" s="14" t="n">
        <v>0</v>
      </c>
      <c r="E8" s="24" t="inlineStr"/>
    </row>
    <row r="9" ht="18" customHeight="1">
      <c r="A9" s="25" t="inlineStr">
        <is>
          <t>TOTAL CANCELLATIONS</t>
        </is>
      </c>
      <c r="B9" s="26" t="n"/>
      <c r="C9" s="48">
        <f>C5+C7</f>
        <v/>
      </c>
      <c r="D9" s="27">
        <f>D5+D7</f>
        <v/>
      </c>
      <c r="E9" s="26" t="n"/>
    </row>
    <row r="11" ht="20" customHeight="1">
      <c r="A11" s="45" t="inlineStr">
        <is>
          <t>ℹ  Direct channel APIs only — Shopify (cancelReason), Amazon SP-API (IsBuyerRequestedCancellation), Mirakl/B&amp;Q (state). ManoMano, OnBuy and eBay cancellations are not yet covered.</t>
        </is>
      </c>
    </row>
  </sheetData>
  <mergeCells count="2">
    <mergeCell ref="A11:E1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10" customWidth="1" min="9" max="9"/>
    <col width="10" customWidth="1" min="10" max="10"/>
    <col width="18" customWidth="1" min="11" max="11"/>
  </cols>
  <sheetData>
    <row r="1" ht="34" customHeight="1">
      <c r="A1" s="1" t="inlineStr">
        <is>
          <t>Paid Ad Spend  |  June 2026</t>
        </is>
      </c>
    </row>
    <row r="2" ht="4" customHeight="1"/>
    <row r="3" ht="22" customHeight="1">
      <c r="A3" s="2" t="inlineStr">
        <is>
          <t>Platform</t>
        </is>
      </c>
      <c r="B3" s="2" t="inlineStr">
        <is>
          <t>Campaign</t>
        </is>
      </c>
      <c r="C3" s="2" t="inlineStr">
        <is>
          <t>Spend (£)</t>
        </is>
      </c>
      <c r="D3" s="2" t="inlineStr">
        <is>
          <t>Conversions</t>
        </is>
      </c>
      <c r="E3" s="2" t="inlineStr">
        <is>
          <t>Conv. Value (£)</t>
        </is>
      </c>
      <c r="F3" s="2" t="inlineStr">
        <is>
          <t>Cost / Conv (£)</t>
        </is>
      </c>
      <c r="G3" s="2" t="inlineStr">
        <is>
          <t>ROAS</t>
        </is>
      </c>
      <c r="H3" s="2" t="inlineStr">
        <is>
          <t>Impressions</t>
        </is>
      </c>
      <c r="I3" s="2" t="inlineStr">
        <is>
          <t>Clicks</t>
        </is>
      </c>
      <c r="J3" s="2" t="inlineStr">
        <is>
          <t>CTR</t>
        </is>
      </c>
      <c r="K3" s="2" t="inlineStr">
        <is>
          <t>Coverage</t>
        </is>
      </c>
    </row>
    <row r="4">
      <c r="A4" s="13" t="inlineStr">
        <is>
          <t>Google Ads</t>
        </is>
      </c>
      <c r="B4" s="19" t="inlineStr">
        <is>
          <t>Categories | PMax | CS</t>
        </is>
      </c>
      <c r="C4" s="14" t="n">
        <v>10713.46</v>
      </c>
      <c r="D4" s="49" t="n">
        <v>117.37</v>
      </c>
      <c r="E4" s="14" t="n">
        <v>109161.51</v>
      </c>
      <c r="F4" s="14">
        <f>IFERROR(C4/D4,0)</f>
        <v/>
      </c>
      <c r="G4" s="49">
        <f>IFERROR(E4/C4,0)</f>
        <v/>
      </c>
      <c r="H4" s="46" t="n">
        <v>993954</v>
      </c>
      <c r="I4" s="46" t="n">
        <v>18758</v>
      </c>
      <c r="J4" s="15">
        <f>IFERROR(I4/H4,0)</f>
        <v/>
      </c>
      <c r="K4" s="17" t="inlineStr">
        <is>
          <t>COMPLETE</t>
        </is>
      </c>
    </row>
    <row r="6" ht="18" customHeight="1">
      <c r="A6" s="25" t="inlineStr">
        <is>
          <t>TOTAL AD SPEND</t>
        </is>
      </c>
      <c r="B6" s="26" t="n"/>
      <c r="C6" s="27">
        <f>C4</f>
        <v/>
      </c>
      <c r="D6" s="50">
        <f>D4</f>
        <v/>
      </c>
      <c r="E6" s="27">
        <f>E4</f>
        <v/>
      </c>
      <c r="F6" s="27">
        <f>IFERROR(C6/D6,0)</f>
        <v/>
      </c>
      <c r="G6" s="50">
        <f>IFERROR(E6/C6,0)</f>
        <v/>
      </c>
      <c r="H6" s="26" t="n"/>
      <c r="I6" s="26" t="n"/>
      <c r="J6" s="26" t="n"/>
      <c r="K6" s="26" t="n"/>
    </row>
    <row r="8" ht="20" customHeight="1">
      <c r="A8" s="45" t="inlineStr">
        <is>
          <t>ℹ  Showing campaigns with spend only. Conversions / Conv. Value / Cost-per-Conv / ROAS reflect Google Ads conversion tracking; eBay Promoted Listings does not yet feed conversion data into this report.</t>
        </is>
      </c>
    </row>
  </sheetData>
  <mergeCells count="2">
    <mergeCell ref="A1:K1"/>
    <mergeCell ref="A8:K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6" customWidth="1" min="3" max="3"/>
    <col width="14" customWidth="1" min="4" max="4"/>
    <col width="22" customWidth="1" min="5" max="5"/>
    <col width="22" customWidth="1" min="6" max="6"/>
  </cols>
  <sheetData>
    <row r="1" ht="34" customHeight="1">
      <c r="A1" s="1" t="inlineStr">
        <is>
          <t>Raw Data — Transactions  |  June 2026</t>
        </is>
      </c>
    </row>
    <row r="2" ht="4" customHeight="1"/>
    <row r="3" ht="20" customHeight="1">
      <c r="A3" s="11" t="inlineStr">
        <is>
          <t xml:space="preserve">  eBay Finance Transactions</t>
        </is>
      </c>
    </row>
    <row r="4" ht="22" customHeight="1">
      <c r="A4" s="51" t="inlineStr">
        <is>
          <t>Transaction ID</t>
        </is>
      </c>
      <c r="B4" s="51" t="inlineStr">
        <is>
          <t>Date</t>
        </is>
      </c>
      <c r="C4" s="51" t="inlineStr">
        <is>
          <t>Type</t>
        </is>
      </c>
      <c r="D4" s="51" t="inlineStr">
        <is>
          <t>Amount (£)</t>
        </is>
      </c>
      <c r="E4" s="51" t="inlineStr">
        <is>
          <t>Order ID</t>
        </is>
      </c>
      <c r="F4" s="51" t="inlineStr">
        <is>
          <t>Source</t>
        </is>
      </c>
    </row>
    <row r="5">
      <c r="A5" s="3" t="inlineStr">
        <is>
          <t>07-14828-11156</t>
        </is>
      </c>
      <c r="B5" s="3" t="inlineStr">
        <is>
          <t>2026-06-27</t>
        </is>
      </c>
      <c r="C5" s="3" t="inlineStr">
        <is>
          <t>SALE</t>
        </is>
      </c>
      <c r="D5" s="4" t="n">
        <v>1210.51</v>
      </c>
      <c r="E5" s="3" t="inlineStr">
        <is>
          <t>07-14828-11156</t>
        </is>
      </c>
      <c r="F5" s="3" t="inlineStr">
        <is>
          <t>eBay Finances API</t>
        </is>
      </c>
    </row>
    <row r="6">
      <c r="A6" s="19" t="inlineStr">
        <is>
          <t>06-14822-18498</t>
        </is>
      </c>
      <c r="B6" s="19" t="inlineStr">
        <is>
          <t>2026-06-25</t>
        </is>
      </c>
      <c r="C6" s="19" t="inlineStr">
        <is>
          <t>SALE</t>
        </is>
      </c>
      <c r="D6" s="14" t="n">
        <v>1210.51</v>
      </c>
      <c r="E6" s="19" t="inlineStr">
        <is>
          <t>06-14822-18498</t>
        </is>
      </c>
      <c r="F6" s="19" t="inlineStr">
        <is>
          <t>eBay Finances API</t>
        </is>
      </c>
    </row>
    <row r="7">
      <c r="A7" s="3" t="inlineStr">
        <is>
          <t>FEE-8193676438411_11</t>
        </is>
      </c>
      <c r="B7" s="3" t="inlineStr">
        <is>
          <t>2026-06-21</t>
        </is>
      </c>
      <c r="C7" s="3" t="inlineStr">
        <is>
          <t>NON_SALE_CHARGE</t>
        </is>
      </c>
      <c r="D7" s="4" t="n">
        <v>0.12</v>
      </c>
      <c r="E7" s="3" t="inlineStr">
        <is>
          <t>—</t>
        </is>
      </c>
      <c r="F7" s="3" t="inlineStr">
        <is>
          <t>eBay Finances API</t>
        </is>
      </c>
    </row>
    <row r="8">
      <c r="A8" s="19" t="inlineStr">
        <is>
          <t>02-14801-15450</t>
        </is>
      </c>
      <c r="B8" s="19" t="inlineStr">
        <is>
          <t>2026-06-18</t>
        </is>
      </c>
      <c r="C8" s="19" t="inlineStr">
        <is>
          <t>SALE</t>
        </is>
      </c>
      <c r="D8" s="14" t="n">
        <v>1210.51</v>
      </c>
      <c r="E8" s="19" t="inlineStr">
        <is>
          <t>02-14801-15450</t>
        </is>
      </c>
      <c r="F8" s="19" t="inlineStr">
        <is>
          <t>eBay Finances API</t>
        </is>
      </c>
    </row>
    <row r="9">
      <c r="A9" s="3" t="inlineStr">
        <is>
          <t>24-14774-96382</t>
        </is>
      </c>
      <c r="B9" s="3" t="inlineStr">
        <is>
          <t>2026-06-17</t>
        </is>
      </c>
      <c r="C9" s="3" t="inlineStr">
        <is>
          <t>SALE</t>
        </is>
      </c>
      <c r="D9" s="4" t="n">
        <v>1210.51</v>
      </c>
      <c r="E9" s="3" t="inlineStr">
        <is>
          <t>24-14774-96382</t>
        </is>
      </c>
      <c r="F9" s="3" t="inlineStr">
        <is>
          <t>eBay Finances API</t>
        </is>
      </c>
    </row>
    <row r="10">
      <c r="A10" s="19" t="inlineStr">
        <is>
          <t>03-14791-34424</t>
        </is>
      </c>
      <c r="B10" s="19" t="inlineStr">
        <is>
          <t>2026-06-16</t>
        </is>
      </c>
      <c r="C10" s="19" t="inlineStr">
        <is>
          <t>SALE</t>
        </is>
      </c>
      <c r="D10" s="14" t="n">
        <v>1210.51</v>
      </c>
      <c r="E10" s="19" t="inlineStr">
        <is>
          <t>03-14791-34424</t>
        </is>
      </c>
      <c r="F10" s="19" t="inlineStr">
        <is>
          <t>eBay Finances API</t>
        </is>
      </c>
    </row>
    <row r="11">
      <c r="A11" s="3" t="inlineStr">
        <is>
          <t>06-14768-62173</t>
        </is>
      </c>
      <c r="B11" s="3" t="inlineStr">
        <is>
          <t>2026-06-12</t>
        </is>
      </c>
      <c r="C11" s="3" t="inlineStr">
        <is>
          <t>SALE</t>
        </is>
      </c>
      <c r="D11" s="4" t="n">
        <v>1210.51</v>
      </c>
      <c r="E11" s="3" t="inlineStr">
        <is>
          <t>06-14768-62173</t>
        </is>
      </c>
      <c r="F11" s="3" t="inlineStr">
        <is>
          <t>eBay Finances API</t>
        </is>
      </c>
    </row>
    <row r="12">
      <c r="A12" s="19" t="inlineStr">
        <is>
          <t>DISPUTE_HOLD_REVERSE-6668964979-6569492517</t>
        </is>
      </c>
      <c r="B12" s="19" t="inlineStr">
        <is>
          <t>2026-06-08</t>
        </is>
      </c>
      <c r="C12" s="19" t="inlineStr">
        <is>
          <t>CREDIT</t>
        </is>
      </c>
      <c r="D12" s="14" t="n">
        <v>1399.99</v>
      </c>
      <c r="E12" s="19" t="inlineStr">
        <is>
          <t>19-14368-66944</t>
        </is>
      </c>
      <c r="F12" s="19" t="inlineStr">
        <is>
          <t>eBay Finances API</t>
        </is>
      </c>
    </row>
    <row r="13">
      <c r="A13" s="3" t="inlineStr">
        <is>
          <t>FEE-8158159278511_11</t>
        </is>
      </c>
      <c r="B13" s="3" t="inlineStr">
        <is>
          <t>2026-06-08</t>
        </is>
      </c>
      <c r="C13" s="3" t="inlineStr">
        <is>
          <t>NON_SALE_CHARGE</t>
        </is>
      </c>
      <c r="D13" s="4" t="n">
        <v>14</v>
      </c>
      <c r="E13" s="3" t="inlineStr">
        <is>
          <t>—</t>
        </is>
      </c>
      <c r="F13" s="3" t="inlineStr">
        <is>
          <t>eBay Finances API</t>
        </is>
      </c>
    </row>
    <row r="14">
      <c r="A14" s="19" t="inlineStr">
        <is>
          <t>RRP-6704109850-CCM_RECOUP</t>
        </is>
      </c>
      <c r="B14" s="19" t="inlineStr">
        <is>
          <t>2026-06-08</t>
        </is>
      </c>
      <c r="C14" s="19" t="inlineStr">
        <is>
          <t>REFUND</t>
        </is>
      </c>
      <c r="D14" s="14" t="n">
        <v>1399.99</v>
      </c>
      <c r="E14" s="19" t="inlineStr">
        <is>
          <t>19-14368-66944</t>
        </is>
      </c>
      <c r="F14" s="19" t="inlineStr">
        <is>
          <t>eBay Finances API</t>
        </is>
      </c>
    </row>
    <row r="15">
      <c r="A15" s="3" t="inlineStr">
        <is>
          <t>07-14747-29722</t>
        </is>
      </c>
      <c r="B15" s="3" t="inlineStr">
        <is>
          <t>2026-06-08</t>
        </is>
      </c>
      <c r="C15" s="3" t="inlineStr">
        <is>
          <t>SALE</t>
        </is>
      </c>
      <c r="D15" s="4" t="n">
        <v>1210.51</v>
      </c>
      <c r="E15" s="3" t="inlineStr">
        <is>
          <t>07-14747-29722</t>
        </is>
      </c>
      <c r="F15" s="3" t="inlineStr">
        <is>
          <t>eBay Finances API</t>
        </is>
      </c>
    </row>
    <row r="16">
      <c r="A16" s="19" t="inlineStr">
        <is>
          <t>05-14745-48445</t>
        </is>
      </c>
      <c r="B16" s="19" t="inlineStr">
        <is>
          <t>2026-06-06</t>
        </is>
      </c>
      <c r="C16" s="19" t="inlineStr">
        <is>
          <t>SALE</t>
        </is>
      </c>
      <c r="D16" s="14" t="n">
        <v>27.25</v>
      </c>
      <c r="E16" s="19" t="inlineStr">
        <is>
          <t>05-14745-48445</t>
        </is>
      </c>
      <c r="F16" s="19" t="inlineStr">
        <is>
          <t>eBay Finances API</t>
        </is>
      </c>
    </row>
    <row r="17">
      <c r="A17" s="3" t="inlineStr">
        <is>
          <t>05-14726-75992</t>
        </is>
      </c>
      <c r="B17" s="3" t="inlineStr">
        <is>
          <t>2026-06-02</t>
        </is>
      </c>
      <c r="C17" s="3" t="inlineStr">
        <is>
          <t>SALE</t>
        </is>
      </c>
      <c r="D17" s="4" t="n">
        <v>1210.51</v>
      </c>
      <c r="E17" s="3" t="inlineStr">
        <is>
          <t>05-14726-75992</t>
        </is>
      </c>
      <c r="F17" s="3" t="inlineStr">
        <is>
          <t>eBay Finances API</t>
        </is>
      </c>
    </row>
    <row r="18">
      <c r="A18" s="19" t="inlineStr">
        <is>
          <t>14-14710-74635</t>
        </is>
      </c>
      <c r="B18" s="19" t="inlineStr">
        <is>
          <t>2026-06-02</t>
        </is>
      </c>
      <c r="C18" s="19" t="inlineStr">
        <is>
          <t>SALE</t>
        </is>
      </c>
      <c r="D18" s="14" t="n">
        <v>1210.51</v>
      </c>
      <c r="E18" s="19" t="inlineStr">
        <is>
          <t>14-14710-74635</t>
        </is>
      </c>
      <c r="F18" s="19" t="inlineStr">
        <is>
          <t>eBay Finances API</t>
        </is>
      </c>
    </row>
    <row r="19">
      <c r="A19" s="3" t="inlineStr">
        <is>
          <t>INVOICE-8137311940611_11</t>
        </is>
      </c>
      <c r="B19" s="3" t="inlineStr">
        <is>
          <t>2026-06-01</t>
        </is>
      </c>
      <c r="C19" s="3" t="inlineStr">
        <is>
          <t>NON_SALE_CHARGE</t>
        </is>
      </c>
      <c r="D19" s="4" t="n">
        <v>32.4</v>
      </c>
      <c r="E19" s="3" t="inlineStr">
        <is>
          <t>—</t>
        </is>
      </c>
      <c r="F19" s="3" t="inlineStr">
        <is>
          <t>eBay Finances API</t>
        </is>
      </c>
    </row>
    <row r="20">
      <c r="A20" s="19" t="inlineStr">
        <is>
          <t>26-14687-02211</t>
        </is>
      </c>
      <c r="B20" s="19" t="inlineStr">
        <is>
          <t>2026-06-01</t>
        </is>
      </c>
      <c r="C20" s="19" t="inlineStr">
        <is>
          <t>SALE</t>
        </is>
      </c>
      <c r="D20" s="14" t="n">
        <v>1210.51</v>
      </c>
      <c r="E20" s="19" t="inlineStr">
        <is>
          <t>26-14687-02211</t>
        </is>
      </c>
      <c r="F20" s="19" t="inlineStr">
        <is>
          <t>eBay Finances API</t>
        </is>
      </c>
    </row>
    <row r="22" ht="20" customHeight="1">
      <c r="A22" s="52" t="inlineStr">
        <is>
          <t xml:space="preserve">  Amazon Settlement Line Items</t>
        </is>
      </c>
    </row>
    <row r="23" ht="22" customHeight="1">
      <c r="A23" s="32" t="inlineStr">
        <is>
          <t>Settlement ID</t>
        </is>
      </c>
      <c r="B23" s="32" t="inlineStr">
        <is>
          <t>Posted Date</t>
        </is>
      </c>
      <c r="C23" s="32" t="inlineStr">
        <is>
          <t>Fee Type</t>
        </is>
      </c>
      <c r="D23" s="32" t="inlineStr">
        <is>
          <t>Amount (£)</t>
        </is>
      </c>
      <c r="E23" s="32" t="inlineStr">
        <is>
          <t>Order ID</t>
        </is>
      </c>
      <c r="F23" s="32" t="inlineStr">
        <is>
          <t>Source</t>
        </is>
      </c>
    </row>
    <row r="24">
      <c r="A24" s="35" t="inlineStr"/>
      <c r="B24" s="35" t="inlineStr">
        <is>
          <t>2026-06-01T22:21:25Z</t>
        </is>
      </c>
      <c r="C24" s="35" t="inlineStr">
        <is>
          <t>FBAPerUnitFulfillmentFee</t>
        </is>
      </c>
      <c r="D24" s="53" t="n">
        <v>-21</v>
      </c>
      <c r="E24" s="35" t="inlineStr">
        <is>
          <t>202-7672102-8693146</t>
        </is>
      </c>
      <c r="F24" s="35" t="inlineStr">
        <is>
          <t>SP-API Finances (Shipment)</t>
        </is>
      </c>
    </row>
    <row r="25">
      <c r="A25" s="3" t="inlineStr"/>
      <c r="B25" s="3" t="inlineStr">
        <is>
          <t>2026-06-01T22:21:25Z</t>
        </is>
      </c>
      <c r="C25" s="3" t="inlineStr">
        <is>
          <t>DigitalServicesFee</t>
        </is>
      </c>
      <c r="D25" s="4" t="n">
        <v>-0.42</v>
      </c>
      <c r="E25" s="3" t="inlineStr">
        <is>
          <t>202-7672102-8693146</t>
        </is>
      </c>
      <c r="F25" s="3" t="inlineStr">
        <is>
          <t>SP-API Finances (Shipment)</t>
        </is>
      </c>
    </row>
    <row r="26">
      <c r="A26" s="35" t="inlineStr"/>
      <c r="B26" s="35" t="inlineStr">
        <is>
          <t>2026-06-03T16:40:39Z</t>
        </is>
      </c>
      <c r="C26" s="35" t="inlineStr">
        <is>
          <t>FBAPerUnitFulfillmentFee</t>
        </is>
      </c>
      <c r="D26" s="53" t="n">
        <v>-21</v>
      </c>
      <c r="E26" s="35" t="inlineStr">
        <is>
          <t>204-3548637-9128340</t>
        </is>
      </c>
      <c r="F26" s="35" t="inlineStr">
        <is>
          <t>SP-API Finances (Shipment)</t>
        </is>
      </c>
    </row>
    <row r="27">
      <c r="A27" s="3" t="inlineStr"/>
      <c r="B27" s="3" t="inlineStr">
        <is>
          <t>2026-06-03T16:40:39Z</t>
        </is>
      </c>
      <c r="C27" s="3" t="inlineStr">
        <is>
          <t>DigitalServicesFee</t>
        </is>
      </c>
      <c r="D27" s="4" t="n">
        <v>-0.42</v>
      </c>
      <c r="E27" s="3" t="inlineStr">
        <is>
          <t>204-3548637-9128340</t>
        </is>
      </c>
      <c r="F27" s="3" t="inlineStr">
        <is>
          <t>SP-API Finances (Shipment)</t>
        </is>
      </c>
    </row>
    <row r="28">
      <c r="A28" s="35" t="inlineStr"/>
      <c r="B28" s="35" t="inlineStr">
        <is>
          <t>2026-06-03T19:40:15Z</t>
        </is>
      </c>
      <c r="C28" s="35" t="inlineStr">
        <is>
          <t>FBAPerUnitFulfillmentFee</t>
        </is>
      </c>
      <c r="D28" s="53" t="n">
        <v>-16</v>
      </c>
      <c r="E28" s="35" t="inlineStr">
        <is>
          <t>205-7320332-4645139</t>
        </is>
      </c>
      <c r="F28" s="35" t="inlineStr">
        <is>
          <t>SP-API Finances (Shipment)</t>
        </is>
      </c>
    </row>
    <row r="29">
      <c r="A29" s="3" t="inlineStr"/>
      <c r="B29" s="3" t="inlineStr">
        <is>
          <t>2026-06-03T19:40:15Z</t>
        </is>
      </c>
      <c r="C29" s="3" t="inlineStr">
        <is>
          <t>DigitalServicesFee</t>
        </is>
      </c>
      <c r="D29" s="4" t="n">
        <v>-0.32</v>
      </c>
      <c r="E29" s="3" t="inlineStr">
        <is>
          <t>205-7320332-4645139</t>
        </is>
      </c>
      <c r="F29" s="3" t="inlineStr">
        <is>
          <t>SP-API Finances (Shipment)</t>
        </is>
      </c>
    </row>
    <row r="30">
      <c r="A30" s="35" t="inlineStr"/>
      <c r="B30" s="35" t="inlineStr">
        <is>
          <t>2026-06-04T21:22:26Z</t>
        </is>
      </c>
      <c r="C30" s="35" t="inlineStr">
        <is>
          <t>FBAPerUnitFulfillmentFee</t>
        </is>
      </c>
      <c r="D30" s="53" t="n">
        <v>-21</v>
      </c>
      <c r="E30" s="35" t="inlineStr">
        <is>
          <t>203-7900726-0951522</t>
        </is>
      </c>
      <c r="F30" s="35" t="inlineStr">
        <is>
          <t>SP-API Finances (Shipment)</t>
        </is>
      </c>
    </row>
    <row r="31">
      <c r="A31" s="3" t="inlineStr"/>
      <c r="B31" s="3" t="inlineStr">
        <is>
          <t>2026-06-04T21:22:26Z</t>
        </is>
      </c>
      <c r="C31" s="3" t="inlineStr">
        <is>
          <t>DigitalServicesFee</t>
        </is>
      </c>
      <c r="D31" s="4" t="n">
        <v>-0.42</v>
      </c>
      <c r="E31" s="3" t="inlineStr">
        <is>
          <t>203-7900726-0951522</t>
        </is>
      </c>
      <c r="F31" s="3" t="inlineStr">
        <is>
          <t>SP-API Finances (Shipment)</t>
        </is>
      </c>
    </row>
    <row r="32">
      <c r="A32" s="35" t="inlineStr"/>
      <c r="B32" s="35" t="inlineStr">
        <is>
          <t>2026-06-15T15:57:27Z</t>
        </is>
      </c>
      <c r="C32" s="35" t="inlineStr">
        <is>
          <t>FBAPerUnitFulfillmentFee</t>
        </is>
      </c>
      <c r="D32" s="53" t="n">
        <v>-21</v>
      </c>
      <c r="E32" s="35" t="inlineStr">
        <is>
          <t>204-7395081-0441144</t>
        </is>
      </c>
      <c r="F32" s="35" t="inlineStr">
        <is>
          <t>SP-API Finances (Shipment)</t>
        </is>
      </c>
    </row>
    <row r="33">
      <c r="A33" s="3" t="inlineStr"/>
      <c r="B33" s="3" t="inlineStr">
        <is>
          <t>2026-06-15T15:57:27Z</t>
        </is>
      </c>
      <c r="C33" s="3" t="inlineStr">
        <is>
          <t>DigitalServicesFee</t>
        </is>
      </c>
      <c r="D33" s="4" t="n">
        <v>-0.42</v>
      </c>
      <c r="E33" s="3" t="inlineStr">
        <is>
          <t>204-7395081-0441144</t>
        </is>
      </c>
      <c r="F33" s="3" t="inlineStr">
        <is>
          <t>SP-API Finances (Shipment)</t>
        </is>
      </c>
    </row>
    <row r="34">
      <c r="A34" s="35" t="inlineStr"/>
      <c r="B34" s="35" t="inlineStr">
        <is>
          <t>2026-06-15T20:58:29Z</t>
        </is>
      </c>
      <c r="C34" s="35" t="inlineStr">
        <is>
          <t>FBAPerUnitFulfillmentFee</t>
        </is>
      </c>
      <c r="D34" s="53" t="n">
        <v>-21</v>
      </c>
      <c r="E34" s="35" t="inlineStr">
        <is>
          <t>203-7036952-5950712</t>
        </is>
      </c>
      <c r="F34" s="35" t="inlineStr">
        <is>
          <t>SP-API Finances (Shipment)</t>
        </is>
      </c>
    </row>
    <row r="35">
      <c r="A35" s="3" t="inlineStr"/>
      <c r="B35" s="3" t="inlineStr">
        <is>
          <t>2026-06-15T20:58:29Z</t>
        </is>
      </c>
      <c r="C35" s="3" t="inlineStr">
        <is>
          <t>DigitalServicesFee</t>
        </is>
      </c>
      <c r="D35" s="4" t="n">
        <v>-0.42</v>
      </c>
      <c r="E35" s="3" t="inlineStr">
        <is>
          <t>203-7036952-5950712</t>
        </is>
      </c>
      <c r="F35" s="3" t="inlineStr">
        <is>
          <t>SP-API Finances (Shipment)</t>
        </is>
      </c>
    </row>
    <row r="36">
      <c r="A36" s="35" t="inlineStr"/>
      <c r="B36" s="35" t="inlineStr">
        <is>
          <t>2026-06-16T15:50:09Z</t>
        </is>
      </c>
      <c r="C36" s="35" t="inlineStr">
        <is>
          <t>FBAPerUnitFulfillmentFee</t>
        </is>
      </c>
      <c r="D36" s="53" t="n">
        <v>-21</v>
      </c>
      <c r="E36" s="35" t="inlineStr">
        <is>
          <t>204-1389248-3591547</t>
        </is>
      </c>
      <c r="F36" s="35" t="inlineStr">
        <is>
          <t>SP-API Finances (Shipment)</t>
        </is>
      </c>
    </row>
    <row r="37">
      <c r="A37" s="3" t="inlineStr"/>
      <c r="B37" s="3" t="inlineStr">
        <is>
          <t>2026-06-16T15:50:09Z</t>
        </is>
      </c>
      <c r="C37" s="3" t="inlineStr">
        <is>
          <t>DigitalServicesFee</t>
        </is>
      </c>
      <c r="D37" s="4" t="n">
        <v>-0.42</v>
      </c>
      <c r="E37" s="3" t="inlineStr">
        <is>
          <t>204-1389248-3591547</t>
        </is>
      </c>
      <c r="F37" s="3" t="inlineStr">
        <is>
          <t>SP-API Finances (Shipment)</t>
        </is>
      </c>
    </row>
    <row r="38">
      <c r="A38" s="35" t="inlineStr"/>
      <c r="B38" s="35" t="inlineStr">
        <is>
          <t>2026-06-18T00:06:04Z</t>
        </is>
      </c>
      <c r="C38" s="35" t="inlineStr">
        <is>
          <t>FBAPerUnitFulfillmentFee</t>
        </is>
      </c>
      <c r="D38" s="53" t="n">
        <v>-17.53</v>
      </c>
      <c r="E38" s="35" t="inlineStr">
        <is>
          <t>026-3597661-0853108</t>
        </is>
      </c>
      <c r="F38" s="35" t="inlineStr">
        <is>
          <t>SP-API Finances (Shipment)</t>
        </is>
      </c>
    </row>
    <row r="39">
      <c r="A39" s="3" t="inlineStr"/>
      <c r="B39" s="3" t="inlineStr">
        <is>
          <t>2026-06-18T00:06:04Z</t>
        </is>
      </c>
      <c r="C39" s="3" t="inlineStr">
        <is>
          <t>DigitalServicesFee</t>
        </is>
      </c>
      <c r="D39" s="4" t="n">
        <v>-0.35</v>
      </c>
      <c r="E39" s="3" t="inlineStr">
        <is>
          <t>026-3597661-0853108</t>
        </is>
      </c>
      <c r="F39" s="3" t="inlineStr">
        <is>
          <t>SP-API Finances (Shipment)</t>
        </is>
      </c>
    </row>
    <row r="40">
      <c r="A40" s="35" t="inlineStr"/>
      <c r="B40" s="35" t="inlineStr">
        <is>
          <t>2026-06-18T21:37:14Z</t>
        </is>
      </c>
      <c r="C40" s="35" t="inlineStr">
        <is>
          <t>FBAPerUnitFulfillmentFee</t>
        </is>
      </c>
      <c r="D40" s="53" t="n">
        <v>-21</v>
      </c>
      <c r="E40" s="35" t="inlineStr">
        <is>
          <t>203-1823967-2555522</t>
        </is>
      </c>
      <c r="F40" s="35" t="inlineStr">
        <is>
          <t>SP-API Finances (Shipment)</t>
        </is>
      </c>
    </row>
    <row r="41">
      <c r="A41" s="3" t="inlineStr"/>
      <c r="B41" s="3" t="inlineStr">
        <is>
          <t>2026-06-18T21:37:14Z</t>
        </is>
      </c>
      <c r="C41" s="3" t="inlineStr">
        <is>
          <t>DigitalServicesFee</t>
        </is>
      </c>
      <c r="D41" s="4" t="n">
        <v>-0.42</v>
      </c>
      <c r="E41" s="3" t="inlineStr">
        <is>
          <t>203-1823967-2555522</t>
        </is>
      </c>
      <c r="F41" s="3" t="inlineStr">
        <is>
          <t>SP-API Finances (Shipment)</t>
        </is>
      </c>
    </row>
    <row r="42">
      <c r="A42" s="35" t="inlineStr"/>
      <c r="B42" s="35" t="inlineStr">
        <is>
          <t>2026-06-18T23:08:52Z</t>
        </is>
      </c>
      <c r="C42" s="35" t="inlineStr">
        <is>
          <t>FBAPerUnitFulfillmentFee</t>
        </is>
      </c>
      <c r="D42" s="53" t="n">
        <v>-21</v>
      </c>
      <c r="E42" s="35" t="inlineStr">
        <is>
          <t>202-2624709-2610740</t>
        </is>
      </c>
      <c r="F42" s="35" t="inlineStr">
        <is>
          <t>SP-API Finances (Shipment)</t>
        </is>
      </c>
    </row>
    <row r="43">
      <c r="A43" s="3" t="inlineStr"/>
      <c r="B43" s="3" t="inlineStr">
        <is>
          <t>2026-06-18T23:08:52Z</t>
        </is>
      </c>
      <c r="C43" s="3" t="inlineStr">
        <is>
          <t>DigitalServicesFee</t>
        </is>
      </c>
      <c r="D43" s="4" t="n">
        <v>-0.42</v>
      </c>
      <c r="E43" s="3" t="inlineStr">
        <is>
          <t>202-2624709-2610740</t>
        </is>
      </c>
      <c r="F43" s="3" t="inlineStr">
        <is>
          <t>SP-API Finances (Shipment)</t>
        </is>
      </c>
    </row>
    <row r="45" ht="20" customHeight="1">
      <c r="A45" s="11" t="inlineStr">
        <is>
          <t xml:space="preserve">  Google Ads — Campaign Spend</t>
        </is>
      </c>
    </row>
    <row r="46" ht="22" customHeight="1">
      <c r="A46" s="51" t="inlineStr">
        <is>
          <t>Campaign ID</t>
        </is>
      </c>
      <c r="B46" s="51" t="inlineStr">
        <is>
          <t>Type</t>
        </is>
      </c>
      <c r="C46" s="51" t="inlineStr">
        <is>
          <t>Campaign Name</t>
        </is>
      </c>
      <c r="D46" s="51" t="inlineStr">
        <is>
          <t>Spend (£)</t>
        </is>
      </c>
      <c r="E46" s="51" t="inlineStr">
        <is>
          <t>Impressions</t>
        </is>
      </c>
      <c r="F46" s="51" t="inlineStr">
        <is>
          <t>Clicks</t>
        </is>
      </c>
    </row>
    <row r="47">
      <c r="A47" s="3" t="inlineStr">
        <is>
          <t>22988998513</t>
        </is>
      </c>
      <c r="B47" s="3" t="inlineStr">
        <is>
          <t>PERFORMANCE_MAX</t>
        </is>
      </c>
      <c r="C47" s="3" t="inlineStr">
        <is>
          <t>Categories | PMax | CS</t>
        </is>
      </c>
      <c r="D47" s="4" t="n">
        <v>10713.462367</v>
      </c>
      <c r="E47" s="3" t="n">
        <v>993954</v>
      </c>
      <c r="F47" s="3" t="n">
        <v>18758</v>
      </c>
    </row>
  </sheetData>
  <mergeCells count="4">
    <mergeCell ref="A3:F3"/>
    <mergeCell ref="A22:F22"/>
    <mergeCell ref="A1:F1"/>
    <mergeCell ref="A45:F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2026-07-07T15:51:48Z</dcterms:created>
  <dcterms:modified xmlns:dcterms="http://purl.org/dc/terms/" xmlns:xsi="http://www.w3.org/2001/XMLSchema-instance" xsi:type="dcterms:W3CDTF">2026-07-07T15:51:48Z</dcterms:modified>
</cp:coreProperties>
</file>