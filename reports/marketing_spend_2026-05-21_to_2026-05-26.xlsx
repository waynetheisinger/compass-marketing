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place Fees &amp; Commissions" sheetId="2" state="visible" r:id="rId2"/>
    <sheet xmlns:r="http://schemas.openxmlformats.org/officeDocument/2006/relationships" name="FBA Returns &amp; Removals" sheetId="3" state="visible" r:id="rId3"/>
    <sheet xmlns:r="http://schemas.openxmlformats.org/officeDocument/2006/relationships" name="Cancellations" sheetId="4" state="visible" r:id="rId4"/>
    <sheet xmlns:r="http://schemas.openxmlformats.org/officeDocument/2006/relationships" name="Ad Spend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212121"/>
      <sz val="10"/>
    </font>
    <font>
      <color rgb="00212121"/>
      <sz val="10"/>
    </font>
    <font>
      <i val="1"/>
      <color rgb="00757575"/>
      <sz val="10"/>
    </font>
    <font>
      <b val="1"/>
      <color rgb="002E7D32"/>
      <sz val="10"/>
    </font>
    <font>
      <i val="1"/>
      <color rgb="00E65100"/>
      <sz val="9"/>
    </font>
    <font>
      <b val="1"/>
      <color rgb="000D47A1"/>
      <sz val="10"/>
    </font>
    <font>
      <i val="1"/>
      <color rgb="000D47A1"/>
      <sz val="9"/>
    </font>
    <font>
      <color rgb="00757575"/>
      <sz val="10"/>
    </font>
    <font>
      <b val="1"/>
      <color rgb="00BF360C"/>
      <sz val="10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FF3E0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/>
      <right/>
      <top/>
      <bottom style="thin">
        <color rgb="00E0E0E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2" borderId="0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0" fontId="0" fillId="10" borderId="0" pivotButton="0" quotePrefix="0" xfId="0"/>
    <xf numFmtId="0" fontId="9" fillId="9" borderId="0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0" fontId="2" fillId="1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164" fontId="4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4" customWidth="1" min="4" max="4"/>
  </cols>
  <sheetData>
    <row r="1" ht="34" customHeight="1">
      <c r="A1" s="1" t="inlineStr">
        <is>
          <t>MowDirect — Monthly Cost Report  |  21–26 May 2026</t>
        </is>
      </c>
    </row>
    <row r="2" ht="4" customHeight="1"/>
    <row r="3" ht="22" customHeight="1">
      <c r="A3" s="2" t="inlineStr">
        <is>
          <t>Metric</t>
        </is>
      </c>
      <c r="B3" s="2" t="inlineStr">
        <is>
          <t>Amount (£)</t>
        </is>
      </c>
      <c r="C3" s="2" t="inlineStr">
        <is>
          <t>% of Net Revenue</t>
        </is>
      </c>
      <c r="D3" s="2" t="inlineStr">
        <is>
          <t>Notes</t>
        </is>
      </c>
    </row>
    <row r="4" ht="18" customHeight="1">
      <c r="A4" s="3" t="inlineStr">
        <is>
          <t>Net Revenue (all channels, ex-VAT)</t>
        </is>
      </c>
      <c r="B4" s="4">
        <f>'Marketplace Fees &amp; Commissions'!D17</f>
        <v/>
      </c>
      <c r="C4" s="5">
        <f>IFERROR(B4/B4,0)</f>
        <v/>
      </c>
      <c r="D4" s="6" t="inlineStr">
        <is>
          <t>Shopify Direct + eBay + Amazon + ManoMano + OnBuy + B&amp;Q</t>
        </is>
      </c>
    </row>
    <row r="5" ht="8" customHeight="1"/>
    <row r="6" ht="18" customHeight="1">
      <c r="A6" s="3" t="inlineStr">
        <is>
          <t>Marketplace commissions &amp; fees</t>
        </is>
      </c>
      <c r="B6" s="4">
        <f>'Marketplace Fees &amp; Commissions'!C17</f>
        <v/>
      </c>
      <c r="C6" s="5">
        <f>IFERROR(B6/B4,0)</f>
        <v/>
      </c>
      <c r="D6" s="6" t="inlineStr">
        <is>
          <t>Referral fees, subscriptions, listing charges — see Marketplace Fees tab</t>
        </is>
      </c>
    </row>
    <row r="7" ht="18" customHeight="1">
      <c r="A7" s="3" t="inlineStr">
        <is>
          <t>Commission paid to Wayne Theisinger</t>
        </is>
      </c>
      <c r="B7" s="4">
        <f>B4*0.04</f>
        <v/>
      </c>
      <c r="C7" s="5">
        <f>IFERROR(B7/B4,0)</f>
        <v/>
      </c>
      <c r="D7" s="6" t="inlineStr">
        <is>
          <t>4% of Net Revenue across all channels (pre-audit estimate).</t>
        </is>
      </c>
    </row>
    <row r="8" ht="18" customHeight="1">
      <c r="A8" s="3" t="inlineStr">
        <is>
          <t>Total paid ad spend</t>
        </is>
      </c>
      <c r="B8" s="4">
        <f>'Ad Spend'!C6</f>
        <v/>
      </c>
      <c r="C8" s="5">
        <f>IFERROR(B8/B4,0)</f>
        <v/>
      </c>
      <c r="D8" s="6" t="inlineStr">
        <is>
          <t>Google Ads + eBay Promoted Listings</t>
        </is>
      </c>
    </row>
    <row r="9" ht="8" customHeight="1"/>
    <row r="10" ht="18" customHeight="1">
      <c r="A10" s="7" t="inlineStr">
        <is>
          <t>Total deductions (fees + commission + ads)</t>
        </is>
      </c>
      <c r="B10" s="8">
        <f>B6+B7+B8</f>
        <v/>
      </c>
      <c r="C10" s="9">
        <f>IFERROR(B10/B4,0)</f>
        <v/>
      </c>
      <c r="D10" s="10" t="inlineStr">
        <is>
          <t>All costs combined</t>
        </is>
      </c>
    </row>
    <row r="11" ht="18" customHeight="1">
      <c r="A11" s="7" t="inlineStr">
        <is>
          <t>Contribution after deductions</t>
        </is>
      </c>
      <c r="B11" s="8">
        <f>B4-B10</f>
        <v/>
      </c>
      <c r="C11" s="9">
        <f>IFERROR(B11/B4,0)</f>
        <v/>
      </c>
      <c r="D11" s="10" t="inlineStr">
        <is>
          <t>Net revenue minus all marketplace costs.</t>
        </is>
      </c>
    </row>
    <row r="13" ht="20" customHeight="1">
      <c r="A13" s="11" t="inlineStr">
        <is>
          <t xml:space="preserve">  Commissions &amp; Fees by Channel</t>
        </is>
      </c>
    </row>
    <row r="14" ht="22" customHeight="1">
      <c r="A14" s="2" t="inlineStr">
        <is>
          <t>Channel</t>
        </is>
      </c>
      <c r="B14" s="2" t="inlineStr">
        <is>
          <t>Net Revenue (£)</t>
        </is>
      </c>
      <c r="C14" s="2" t="inlineStr">
        <is>
          <t>Commissions &amp; Fees (£)</t>
        </is>
      </c>
      <c r="D14" s="2" t="inlineStr">
        <is>
          <t>Fee %</t>
        </is>
      </c>
    </row>
    <row r="15">
      <c r="A15" s="12" t="inlineStr">
        <is>
          <t>Shopify Direct</t>
        </is>
      </c>
      <c r="B15" s="4">
        <f>'Marketplace Fees &amp; Commissions'!D5</f>
        <v/>
      </c>
      <c r="C15" s="4">
        <f>'Marketplace Fees &amp; Commissions'!C5</f>
        <v/>
      </c>
      <c r="D15" s="5">
        <f>IFERROR(C15/B15,0)</f>
        <v/>
      </c>
    </row>
    <row r="16">
      <c r="A16" s="13" t="inlineStr">
        <is>
          <t>eBay</t>
        </is>
      </c>
      <c r="B16" s="14">
        <f>'Marketplace Fees &amp; Commissions'!D10</f>
        <v/>
      </c>
      <c r="C16" s="14">
        <f>'Marketplace Fees &amp; Commissions'!C10</f>
        <v/>
      </c>
      <c r="D16" s="15">
        <f>IFERROR(C16/B16,0)</f>
        <v/>
      </c>
    </row>
    <row r="17">
      <c r="A17" s="12" t="inlineStr">
        <is>
          <t>Amazon</t>
        </is>
      </c>
      <c r="B17" s="4">
        <f>'Marketplace Fees &amp; Commissions'!D14</f>
        <v/>
      </c>
      <c r="C17" s="4">
        <f>'Marketplace Fees &amp; Commissions'!C14</f>
        <v/>
      </c>
      <c r="D17" s="5">
        <f>IFERROR(C17/B17,0)</f>
        <v/>
      </c>
    </row>
    <row r="18">
      <c r="A18" s="13" t="inlineStr">
        <is>
          <t>B&amp;Q (Mirakl)</t>
        </is>
      </c>
      <c r="B18" s="14">
        <f>'Marketplace Fees &amp; Commissions'!D16</f>
        <v/>
      </c>
      <c r="C18" s="14">
        <f>'Marketplace Fees &amp; Commissions'!C16</f>
        <v/>
      </c>
      <c r="D18" s="15">
        <f>IFERROR(C18/B18,0)</f>
        <v/>
      </c>
    </row>
    <row r="19">
      <c r="A19" s="16" t="inlineStr">
        <is>
          <t>TOTAL</t>
        </is>
      </c>
      <c r="B19" s="8">
        <f>SUM(B15:B18)</f>
        <v/>
      </c>
      <c r="C19" s="8">
        <f>SUM(C15:C18)</f>
        <v/>
      </c>
      <c r="D19" s="9">
        <f>IFERROR(C19/B19,0)</f>
        <v/>
      </c>
    </row>
    <row r="21" ht="20" customHeight="1">
      <c r="A21" s="11" t="inlineStr">
        <is>
          <t xml:space="preserve">  Ad Spend by Platform</t>
        </is>
      </c>
    </row>
    <row r="22" ht="22" customHeight="1">
      <c r="A22" s="2" t="inlineStr">
        <is>
          <t>Platform</t>
        </is>
      </c>
      <c r="B22" s="2" t="inlineStr">
        <is>
          <t>Spend (£)</t>
        </is>
      </c>
      <c r="C22" s="2" t="inlineStr">
        <is>
          <t>% of Net Revenue</t>
        </is>
      </c>
      <c r="D22" s="2" t="inlineStr">
        <is>
          <t>Note / Coverage</t>
        </is>
      </c>
    </row>
    <row r="23">
      <c r="A23" s="12" t="inlineStr">
        <is>
          <t>Google Ads</t>
        </is>
      </c>
      <c r="B23" s="4">
        <f>'Ad Spend'!C4</f>
        <v/>
      </c>
      <c r="C23" s="5">
        <f>IFERROR(B23/B4,0)</f>
        <v/>
      </c>
      <c r="D23" s="17" t="inlineStr">
        <is>
          <t>COMPLETE</t>
        </is>
      </c>
    </row>
    <row r="24">
      <c r="A24" s="13" t="inlineStr">
        <is>
          <t>eBay Promoted Listings</t>
        </is>
      </c>
      <c r="B24" s="14" t="n">
        <v>0</v>
      </c>
      <c r="C24" s="15">
        <f>IFERROR(B24/B4,0)</f>
        <v/>
      </c>
      <c r="D24" s="17" t="inlineStr">
        <is>
          <t>COMPLETE</t>
        </is>
      </c>
    </row>
    <row r="25">
      <c r="A25" s="16" t="inlineStr">
        <is>
          <t>TOTAL</t>
        </is>
      </c>
      <c r="B25" s="8">
        <f>SUM(B23:B24)</f>
        <v/>
      </c>
      <c r="C25" s="9">
        <f>IFERROR(B25/B4,0)</f>
        <v/>
      </c>
      <c r="D25" s="18" t="n"/>
    </row>
  </sheetData>
  <mergeCells count="3">
    <mergeCell ref="A1:D1"/>
    <mergeCell ref="A13:D1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6" customWidth="1" min="4" max="4"/>
    <col width="14" customWidth="1" min="5" max="5"/>
    <col width="26" customWidth="1" min="6" max="6"/>
    <col width="16" customWidth="1" min="7" max="7"/>
  </cols>
  <sheetData>
    <row r="1" ht="34" customHeight="1">
      <c r="A1" s="1" t="inlineStr">
        <is>
          <t>Marketplace Commissions &amp; Fees  |  21–26 May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Fee Type</t>
        </is>
      </c>
      <c r="C3" s="2" t="inlineStr">
        <is>
          <t>Amount (£)</t>
        </is>
      </c>
      <c r="D3" s="2" t="inlineStr">
        <is>
          <t>Net Channel Revenue (£)</t>
        </is>
      </c>
      <c r="E3" s="2" t="inlineStr">
        <is>
          <t>Fee as % of Net Revenue</t>
        </is>
      </c>
      <c r="F3" s="2" t="inlineStr">
        <is>
          <t>Data Source</t>
        </is>
      </c>
      <c r="G3" s="2" t="inlineStr">
        <is>
          <t>Coverage</t>
        </is>
      </c>
    </row>
    <row r="4">
      <c r="A4" s="13" t="inlineStr">
        <is>
          <t>Shopify Direct</t>
        </is>
      </c>
      <c r="B4" s="19" t="inlineStr">
        <is>
          <t>Payment processing fees</t>
        </is>
      </c>
      <c r="C4" s="14" t="n">
        <v>313.67</v>
      </c>
      <c r="D4" s="14" t="n">
        <v>22179.2</v>
      </c>
      <c r="E4" s="15">
        <f>IFERROR(C4/D4,0)</f>
        <v/>
      </c>
      <c r="F4" s="20" t="inlineStr">
        <is>
          <t>Shopify GraphQL</t>
        </is>
      </c>
      <c r="G4" s="17" t="inlineStr">
        <is>
          <t>COMPLETE</t>
        </is>
      </c>
    </row>
    <row r="5">
      <c r="A5" s="16" t="inlineStr">
        <is>
          <t>Shopify Direct subtotal</t>
        </is>
      </c>
      <c r="B5" s="18" t="n"/>
      <c r="C5" s="8">
        <f>SUM(C4:C4)</f>
        <v/>
      </c>
      <c r="D5" s="8">
        <f>D4</f>
        <v/>
      </c>
      <c r="E5" s="9">
        <f>IFERROR(C5/D5,0)</f>
        <v/>
      </c>
      <c r="F5" s="18" t="n"/>
      <c r="G5" s="18" t="n"/>
    </row>
    <row r="6">
      <c r="A6" s="13" t="inlineStr">
        <is>
          <t>eBay</t>
        </is>
      </c>
      <c r="B6" s="19" t="inlineStr">
        <is>
          <t>Final value fees</t>
        </is>
      </c>
      <c r="C6" s="14" t="n">
        <v>457.8</v>
      </c>
      <c r="D6" s="14" t="n">
        <v>3499.98</v>
      </c>
      <c r="E6" s="15">
        <f>IFERROR(C6/D6,0)</f>
        <v/>
      </c>
      <c r="F6" s="20" t="inlineStr">
        <is>
          <t>eBay Finances API</t>
        </is>
      </c>
      <c r="G6" s="17" t="inlineStr">
        <is>
          <t>COMPLETE</t>
        </is>
      </c>
    </row>
    <row r="7">
      <c r="A7" s="3" t="inlineStr"/>
      <c r="B7" s="3" t="inlineStr">
        <is>
          <t>Regulatory operating fee</t>
        </is>
      </c>
      <c r="C7" s="4" t="n">
        <v>14.7</v>
      </c>
      <c r="D7" s="21" t="n"/>
      <c r="E7" s="5">
        <f>IFERROR(C7/D6,0)</f>
        <v/>
      </c>
      <c r="F7" s="6" t="inlineStr"/>
      <c r="G7" s="22" t="inlineStr"/>
    </row>
    <row r="8">
      <c r="A8" s="19" t="inlineStr"/>
      <c r="B8" s="19" t="inlineStr">
        <is>
          <t>Fixed per-order fee</t>
        </is>
      </c>
      <c r="C8" s="14" t="n">
        <v>1.2</v>
      </c>
      <c r="D8" s="23" t="n"/>
      <c r="E8" s="15">
        <f>IFERROR(C8/D6,0)</f>
        <v/>
      </c>
      <c r="F8" s="20" t="inlineStr"/>
      <c r="G8" s="24" t="inlineStr"/>
    </row>
    <row r="9">
      <c r="A9" s="3" t="inlineStr"/>
      <c r="B9" s="3" t="inlineStr">
        <is>
          <t>Insertion fees</t>
        </is>
      </c>
      <c r="C9" s="4" t="n">
        <v>0.1</v>
      </c>
      <c r="D9" s="21" t="n"/>
      <c r="E9" s="5">
        <f>IFERROR(C9/D6,0)</f>
        <v/>
      </c>
      <c r="F9" s="6" t="inlineStr"/>
      <c r="G9" s="22" t="inlineStr"/>
    </row>
    <row r="10">
      <c r="A10" s="16" t="inlineStr">
        <is>
          <t>eBay subtotal</t>
        </is>
      </c>
      <c r="B10" s="18" t="n"/>
      <c r="C10" s="8">
        <f>SUM(C6:C9)</f>
        <v/>
      </c>
      <c r="D10" s="8">
        <f>D6</f>
        <v/>
      </c>
      <c r="E10" s="9">
        <f>IFERROR(C10/D10,0)</f>
        <v/>
      </c>
      <c r="F10" s="18" t="n"/>
      <c r="G10" s="18" t="n"/>
    </row>
    <row r="11">
      <c r="A11" s="12" t="inlineStr">
        <is>
          <t>Amazon</t>
        </is>
      </c>
      <c r="B11" s="3" t="inlineStr">
        <is>
          <t>Commission</t>
        </is>
      </c>
      <c r="C11" s="4" t="n">
        <v>127.5</v>
      </c>
      <c r="D11" s="4" t="n">
        <v>1870.78</v>
      </c>
      <c r="E11" s="5">
        <f>IFERROR(C11/D11,0)</f>
        <v/>
      </c>
      <c r="F11" s="6" t="inlineStr">
        <is>
          <t>SP-API Finances (Principal) · correct to: 25 May 2026</t>
        </is>
      </c>
      <c r="G11" s="17" t="inlineStr">
        <is>
          <t>COMPLETE</t>
        </is>
      </c>
    </row>
    <row r="12">
      <c r="A12" s="19" t="inlineStr"/>
      <c r="B12" s="19" t="inlineStr">
        <is>
          <t>DigitalServicesFee</t>
        </is>
      </c>
      <c r="C12" s="14" t="n">
        <v>5.35</v>
      </c>
      <c r="D12" s="23" t="n"/>
      <c r="E12" s="15">
        <f>IFERROR(C12/D11,0)</f>
        <v/>
      </c>
      <c r="F12" s="20" t="inlineStr"/>
      <c r="G12" s="24" t="inlineStr"/>
    </row>
    <row r="13">
      <c r="A13" s="3" t="inlineStr"/>
      <c r="B13" s="3" t="inlineStr">
        <is>
          <t>RefundCommission</t>
        </is>
      </c>
      <c r="C13" s="4" t="n">
        <v>9.5</v>
      </c>
      <c r="D13" s="21" t="n"/>
      <c r="E13" s="5">
        <f>IFERROR(C13/D11,0)</f>
        <v/>
      </c>
      <c r="F13" s="6" t="inlineStr"/>
      <c r="G13" s="22" t="inlineStr"/>
    </row>
    <row r="14">
      <c r="A14" s="16" t="inlineStr">
        <is>
          <t>Amazon subtotal</t>
        </is>
      </c>
      <c r="B14" s="18" t="n"/>
      <c r="C14" s="8">
        <f>SUM(C11:C13)</f>
        <v/>
      </c>
      <c r="D14" s="8">
        <f>D11</f>
        <v/>
      </c>
      <c r="E14" s="9">
        <f>IFERROR(C14/D14,0)</f>
        <v/>
      </c>
      <c r="F14" s="18" t="n"/>
      <c r="G14" s="18" t="n"/>
    </row>
    <row r="15">
      <c r="A15" s="12" t="inlineStr">
        <is>
          <t>B&amp;Q (Mirakl)</t>
        </is>
      </c>
      <c r="B15" s="3" t="inlineStr">
        <is>
          <t>Commission</t>
        </is>
      </c>
      <c r="C15" s="4" t="n">
        <v>1381.88</v>
      </c>
      <c r="D15" s="4" t="n">
        <v>14153.79</v>
      </c>
      <c r="E15" s="5">
        <f>IFERROR(C15/D15,0)</f>
        <v/>
      </c>
      <c r="F15" s="6" t="inlineStr">
        <is>
          <t>Mirakl API</t>
        </is>
      </c>
      <c r="G15" s="17" t="inlineStr">
        <is>
          <t>COMPLETE</t>
        </is>
      </c>
    </row>
    <row r="16">
      <c r="A16" s="16" t="inlineStr">
        <is>
          <t>B&amp;Q (Mirakl) subtotal</t>
        </is>
      </c>
      <c r="B16" s="18" t="n"/>
      <c r="C16" s="8">
        <f>SUM(C15:C15)</f>
        <v/>
      </c>
      <c r="D16" s="8">
        <f>D15</f>
        <v/>
      </c>
      <c r="E16" s="9">
        <f>IFERROR(C16/D16,0)</f>
        <v/>
      </c>
      <c r="F16" s="18" t="n"/>
      <c r="G16" s="18" t="n"/>
    </row>
    <row r="17" ht="18" customHeight="1">
      <c r="A17" s="25" t="inlineStr">
        <is>
          <t>GRAND TOTAL — MARKETPLACE FEES</t>
        </is>
      </c>
      <c r="B17" s="26" t="n"/>
      <c r="C17" s="27">
        <f>C5+C10+C14+C16</f>
        <v/>
      </c>
      <c r="D17" s="27">
        <f>D5+D10+D14+D16</f>
        <v/>
      </c>
      <c r="E17" s="28">
        <f>IFERROR(C17/D17,0)</f>
        <v/>
      </c>
      <c r="F17" s="26" t="n"/>
      <c r="G17" s="26" t="n"/>
    </row>
    <row r="19" ht="58" customHeight="1">
      <c r="A19" s="29" t="inlineStr">
        <is>
          <t>ℹ  Margin note — Amazon's referral fee is ~15% of GROSS (inc-VAT) sales, which works out to a HIGHER share of NET (ex-VAT) revenue — ~18-19%, as shown above. This is a real effect to be aware of: Amazon's effective cost against net revenue genuinely exceeds the 15% headline rate. It is surfaced here deliberately rather than masked. (Fees are already shown ex-VAT — the reclaimable 20% VAT Amazon charges on its fees has been removed.)</t>
        </is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38" customWidth="1" min="5" max="5"/>
  </cols>
  <sheetData>
    <row r="1" ht="34" customHeight="1">
      <c r="A1" s="30" t="inlineStr">
        <is>
          <t>Amazon FBA — Returns, Removals &amp; Stranded Stock  |  21–26 May 2026</t>
        </is>
      </c>
    </row>
    <row r="2" ht="4" customHeight="1"/>
    <row r="3" ht="20" customHeight="1">
      <c r="A3" s="31" t="inlineStr">
        <is>
          <t xml:space="preserve">  Customer Returns Received by Amazon</t>
        </is>
      </c>
    </row>
    <row r="4" ht="22" customHeight="1">
      <c r="A4" s="32" t="inlineStr">
        <is>
          <t>Disposition</t>
        </is>
      </c>
      <c r="B4" s="32" t="inlineStr">
        <is>
          <t>Units</t>
        </is>
      </c>
      <c r="C4" s="32" t="inlineStr">
        <is>
          <t>Lines</t>
        </is>
      </c>
      <c r="D4" s="32" t="inlineStr">
        <is>
          <t>% of Returns</t>
        </is>
      </c>
      <c r="E4" s="32" t="inlineStr">
        <is>
          <t>Notes</t>
        </is>
      </c>
    </row>
    <row r="5">
      <c r="A5" s="33" t="inlineStr">
        <is>
          <t>No customer returns received this month.</t>
        </is>
      </c>
      <c r="B5" s="34" t="n"/>
      <c r="C5" s="34" t="n"/>
      <c r="D5" s="34" t="n"/>
      <c r="E5" s="34" t="n"/>
    </row>
    <row r="6" ht="20" customHeight="1">
      <c r="A6" s="31" t="inlineStr">
        <is>
          <t xml:space="preserve">  Removal Shipments (units processed by Amazon this month)</t>
        </is>
      </c>
    </row>
    <row r="7" ht="22" customHeight="1">
      <c r="A7" s="32" t="inlineStr">
        <is>
          <t>Order Type</t>
        </is>
      </c>
      <c r="B7" s="32" t="inlineStr">
        <is>
          <t>Units</t>
        </is>
      </c>
      <c r="C7" s="32" t="inlineStr">
        <is>
          <t>Shipments</t>
        </is>
      </c>
      <c r="D7" s="32" t="inlineStr"/>
      <c r="E7" s="32" t="inlineStr">
        <is>
          <t>Meaning</t>
        </is>
      </c>
    </row>
    <row r="8">
      <c r="A8" s="33" t="inlineStr">
        <is>
          <t>No removal shipments processed this month.</t>
        </is>
      </c>
      <c r="B8" s="34" t="n"/>
      <c r="C8" s="34" t="n"/>
      <c r="D8" s="34" t="n"/>
      <c r="E8" s="34" t="n"/>
    </row>
    <row r="10" ht="20" customHeight="1">
      <c r="A10" s="31" t="inlineStr">
        <is>
          <t xml:space="preserve">  Removal &amp; Disposal Costs (from Amazon Finances)</t>
        </is>
      </c>
    </row>
    <row r="11" ht="22" customHeight="1">
      <c r="A11" s="32" t="inlineStr">
        <is>
          <t>Fee Type</t>
        </is>
      </c>
      <c r="B11" s="32" t="inlineStr">
        <is>
          <t>Amount (£)</t>
        </is>
      </c>
      <c r="C11" s="32" t="inlineStr"/>
      <c r="D11" s="32" t="inlineStr"/>
      <c r="E11" s="32" t="inlineStr">
        <is>
          <t>Notes</t>
        </is>
      </c>
    </row>
    <row r="12">
      <c r="A12" s="33" t="inlineStr">
        <is>
          <t>No removal / disposal fees billed this month.</t>
        </is>
      </c>
      <c r="B12" s="34" t="n"/>
      <c r="C12" s="34" t="n"/>
      <c r="D12" s="34" t="n"/>
      <c r="E12" s="34" t="n"/>
    </row>
    <row r="14" ht="20" customHeight="1">
      <c r="A14" s="31" t="inlineStr">
        <is>
          <t xml:space="preserve">  Current Inventory Snapshot — units sitting at Amazon today</t>
        </is>
      </c>
    </row>
    <row r="15" ht="22" customHeight="1">
      <c r="A15" s="32" t="inlineStr">
        <is>
          <t>Bucket</t>
        </is>
      </c>
      <c r="B15" s="32" t="inlineStr">
        <is>
          <t>Units</t>
        </is>
      </c>
      <c r="C15" s="32" t="inlineStr"/>
      <c r="D15" s="32" t="inlineStr"/>
      <c r="E15" s="32" t="inlineStr">
        <is>
          <t>Meaning</t>
        </is>
      </c>
    </row>
    <row r="16">
      <c r="A16" s="35" t="inlineStr">
        <is>
          <t>Fulfillable (sellable)</t>
        </is>
      </c>
      <c r="B16" s="36" t="n">
        <v>219</v>
      </c>
      <c r="C16" s="37" t="inlineStr"/>
      <c r="D16" s="37" t="inlineStr"/>
      <c r="E16" s="33" t="inlineStr">
        <is>
          <t>Active inventory available to ship to customers.</t>
        </is>
      </c>
    </row>
    <row r="17">
      <c r="A17" s="12" t="inlineStr">
        <is>
          <t>Unfulfillable</t>
        </is>
      </c>
      <c r="B17" s="38" t="n">
        <v>0</v>
      </c>
      <c r="C17" s="22" t="inlineStr"/>
      <c r="D17" s="22" t="inlineStr"/>
      <c r="E17" s="6" t="inlineStr">
        <is>
          <t>Stranded — could be removed or disposed.</t>
        </is>
      </c>
    </row>
    <row r="18">
      <c r="A18" s="39" t="inlineStr">
        <is>
          <t>Researching</t>
        </is>
      </c>
      <c r="B18" s="40" t="n">
        <v>0</v>
      </c>
      <c r="C18" s="37" t="inlineStr"/>
      <c r="D18" s="37" t="inlineStr"/>
      <c r="E18" s="33" t="inlineStr">
        <is>
          <t>Lost/damaged claims under investigation by Amazon.</t>
        </is>
      </c>
    </row>
    <row r="19">
      <c r="A19" s="3" t="inlineStr">
        <is>
          <t>Inbound working</t>
        </is>
      </c>
      <c r="B19" s="41" t="n">
        <v>0</v>
      </c>
      <c r="C19" s="22" t="inlineStr"/>
      <c r="D19" s="22" t="inlineStr"/>
      <c r="E19" s="6" t="inlineStr">
        <is>
          <t>Shipment created in Seller Central but not yet sent.</t>
        </is>
      </c>
    </row>
    <row r="20">
      <c r="A20" s="35" t="inlineStr">
        <is>
          <t>Inbound shipped</t>
        </is>
      </c>
      <c r="B20" s="36" t="n">
        <v>4</v>
      </c>
      <c r="C20" s="37" t="inlineStr"/>
      <c r="D20" s="37" t="inlineStr"/>
      <c r="E20" s="33" t="inlineStr">
        <is>
          <t>In transit from MowDirect/supplier to fulfilment centre.</t>
        </is>
      </c>
    </row>
    <row r="21">
      <c r="A21" s="3" t="inlineStr">
        <is>
          <t>Inbound receiving</t>
        </is>
      </c>
      <c r="B21" s="41" t="n">
        <v>1</v>
      </c>
      <c r="C21" s="22" t="inlineStr"/>
      <c r="D21" s="22" t="inlineStr"/>
      <c r="E21" s="6" t="inlineStr">
        <is>
          <t>Arrived at FC, being checked in.</t>
        </is>
      </c>
    </row>
    <row r="22">
      <c r="A22" s="42" t="inlineStr">
        <is>
          <t>AVAILABLE TO BE PICKED UP / DISPOSED</t>
        </is>
      </c>
      <c r="B22" s="43">
        <f>B17+B18</f>
        <v/>
      </c>
      <c r="C22" s="44" t="n"/>
      <c r="D22" s="44" t="n"/>
      <c r="E22" s="44" t="n"/>
    </row>
    <row r="24" ht="20" customHeight="1">
      <c r="A24" s="45" t="inlineStr">
        <is>
          <t>ℹ  Inventory snapshot covers 26 active FBA SKUs at the time of report generation. Customer-returns and removal-shipment figures cover the reporting month only.</t>
        </is>
      </c>
    </row>
  </sheetData>
  <mergeCells count="9">
    <mergeCell ref="A12:E12"/>
    <mergeCell ref="A24:E24"/>
    <mergeCell ref="A14:E14"/>
    <mergeCell ref="A10:E10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6" customWidth="1" min="4" max="4"/>
    <col width="38" customWidth="1" min="5" max="5"/>
  </cols>
  <sheetData>
    <row r="1" ht="34" customHeight="1">
      <c r="A1" s="1" t="inlineStr">
        <is>
          <t>Order Cancellations  |  21–26 May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Reason / Attribution</t>
        </is>
      </c>
      <c r="C3" s="2" t="inlineStr">
        <is>
          <t>Orders</t>
        </is>
      </c>
      <c r="D3" s="2" t="inlineStr">
        <is>
          <t>Value (£)</t>
        </is>
      </c>
      <c r="E3" s="2" t="inlineStr">
        <is>
          <t>Notes / Coverage</t>
        </is>
      </c>
    </row>
    <row r="4">
      <c r="A4" s="13" t="inlineStr">
        <is>
          <t>Shopify Direct</t>
        </is>
      </c>
      <c r="B4" s="20" t="inlineStr">
        <is>
          <t>No cancellations this month.</t>
        </is>
      </c>
      <c r="C4" s="46" t="n">
        <v>0</v>
      </c>
      <c r="D4" s="14" t="n">
        <v>0</v>
      </c>
      <c r="E4" s="24" t="inlineStr"/>
    </row>
    <row r="5">
      <c r="A5" s="12" t="inlineStr">
        <is>
          <t>Amazon</t>
        </is>
      </c>
      <c r="B5" s="47" t="inlineStr">
        <is>
          <t>—</t>
        </is>
      </c>
      <c r="C5" s="47" t="inlineStr">
        <is>
          <t>—</t>
        </is>
      </c>
      <c r="D5" s="47" t="inlineStr">
        <is>
          <t>—</t>
        </is>
      </c>
      <c r="E5" s="48" t="inlineStr">
        <is>
          <t>NOT CONNECTED</t>
        </is>
      </c>
    </row>
    <row r="6">
      <c r="A6" s="13" t="inlineStr">
        <is>
          <t>B&amp;Q (Mirakl)</t>
        </is>
      </c>
      <c r="B6" s="20" t="inlineStr">
        <is>
          <t>No cancellations this month.</t>
        </is>
      </c>
      <c r="C6" s="46" t="n">
        <v>0</v>
      </c>
      <c r="D6" s="14" t="n">
        <v>0</v>
      </c>
      <c r="E6" s="24" t="inlineStr"/>
    </row>
    <row r="7" ht="18" customHeight="1">
      <c r="A7" s="25" t="inlineStr">
        <is>
          <t>TOTAL CANCELLATIONS</t>
        </is>
      </c>
      <c r="B7" s="26" t="n"/>
      <c r="C7" s="49" t="n">
        <v>0</v>
      </c>
      <c r="D7" s="27" t="n">
        <v>0</v>
      </c>
      <c r="E7" s="26" t="n"/>
    </row>
    <row r="9" ht="20" customHeight="1">
      <c r="A9" s="45" t="inlineStr">
        <is>
          <t>ℹ  Direct channel APIs only — Shopify (cancelReason), Amazon SP-API (IsBuyerRequestedCancellation), Mirakl/B&amp;Q (state). ManoMano, OnBuy and eBay cancellations are not yet covered.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 ht="34" customHeight="1">
      <c r="A1" s="1" t="inlineStr">
        <is>
          <t>Paid Ad Spend  |  21–26 May 2026</t>
        </is>
      </c>
    </row>
    <row r="2" ht="4" customHeight="1"/>
    <row r="3" ht="22" customHeight="1">
      <c r="A3" s="2" t="inlineStr">
        <is>
          <t>Platform</t>
        </is>
      </c>
      <c r="B3" s="2" t="inlineStr">
        <is>
          <t>Campaign</t>
        </is>
      </c>
      <c r="C3" s="2" t="inlineStr">
        <is>
          <t>Spend (£)</t>
        </is>
      </c>
      <c r="D3" s="2" t="inlineStr">
        <is>
          <t>Conversions</t>
        </is>
      </c>
      <c r="E3" s="2" t="inlineStr">
        <is>
          <t>Conv. Value (£)</t>
        </is>
      </c>
      <c r="F3" s="2" t="inlineStr">
        <is>
          <t>Cost / Conv (£)</t>
        </is>
      </c>
      <c r="G3" s="2" t="inlineStr">
        <is>
          <t>ROAS</t>
        </is>
      </c>
      <c r="H3" s="2" t="inlineStr">
        <is>
          <t>Impressions</t>
        </is>
      </c>
      <c r="I3" s="2" t="inlineStr">
        <is>
          <t>Clicks</t>
        </is>
      </c>
      <c r="J3" s="2" t="inlineStr">
        <is>
          <t>CTR</t>
        </is>
      </c>
      <c r="K3" s="2" t="inlineStr">
        <is>
          <t>Coverage</t>
        </is>
      </c>
    </row>
    <row r="4">
      <c r="A4" s="13" t="inlineStr">
        <is>
          <t>Google Ads</t>
        </is>
      </c>
      <c r="B4" s="19" t="inlineStr">
        <is>
          <t>Categories | PMax | CS</t>
        </is>
      </c>
      <c r="C4" s="14" t="n">
        <v>1499.61</v>
      </c>
      <c r="D4" s="50" t="n">
        <v>10.94</v>
      </c>
      <c r="E4" s="14" t="n">
        <v>13349.53</v>
      </c>
      <c r="F4" s="14">
        <f>IFERROR(C4/D4,0)</f>
        <v/>
      </c>
      <c r="G4" s="50">
        <f>IFERROR(E4/C4,0)</f>
        <v/>
      </c>
      <c r="H4" s="46" t="n">
        <v>127620</v>
      </c>
      <c r="I4" s="46" t="n">
        <v>2430</v>
      </c>
      <c r="J4" s="15">
        <f>IFERROR(I4/H4,0)</f>
        <v/>
      </c>
      <c r="K4" s="17" t="inlineStr">
        <is>
          <t>COMPLETE</t>
        </is>
      </c>
    </row>
    <row r="6" ht="18" customHeight="1">
      <c r="A6" s="25" t="inlineStr">
        <is>
          <t>TOTAL AD SPEND</t>
        </is>
      </c>
      <c r="B6" s="26" t="n"/>
      <c r="C6" s="27">
        <f>C4</f>
        <v/>
      </c>
      <c r="D6" s="51">
        <f>D4</f>
        <v/>
      </c>
      <c r="E6" s="27">
        <f>E4</f>
        <v/>
      </c>
      <c r="F6" s="27">
        <f>IFERROR(C6/D6,0)</f>
        <v/>
      </c>
      <c r="G6" s="51">
        <f>IFERROR(E6/C6,0)</f>
        <v/>
      </c>
      <c r="H6" s="26" t="n"/>
      <c r="I6" s="26" t="n"/>
      <c r="J6" s="26" t="n"/>
      <c r="K6" s="26" t="n"/>
    </row>
    <row r="8" ht="20" customHeight="1">
      <c r="A8" s="45" t="inlineStr">
        <is>
          <t>ℹ  Showing campaigns with spend only. Conversions / Conv. Value / Cost-per-Conv / ROAS reflect Google Ads conversion tracking; eBay Promoted Listings does not yet feed conversion data into this report.</t>
        </is>
      </c>
    </row>
  </sheetData>
  <mergeCells count="2">
    <mergeCell ref="A1:K1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4" customWidth="1" min="4" max="4"/>
    <col width="22" customWidth="1" min="5" max="5"/>
    <col width="22" customWidth="1" min="6" max="6"/>
  </cols>
  <sheetData>
    <row r="1" ht="34" customHeight="1">
      <c r="A1" s="1" t="inlineStr">
        <is>
          <t>Raw Data — Transactions  |  21–26 May 2026</t>
        </is>
      </c>
    </row>
    <row r="2" ht="4" customHeight="1"/>
    <row r="3" ht="20" customHeight="1">
      <c r="A3" s="11" t="inlineStr">
        <is>
          <t xml:space="preserve">  eBay Finance Transactions</t>
        </is>
      </c>
    </row>
    <row r="4" ht="22" customHeight="1">
      <c r="A4" s="52" t="inlineStr">
        <is>
          <t>Transaction ID</t>
        </is>
      </c>
      <c r="B4" s="52" t="inlineStr">
        <is>
          <t>Date</t>
        </is>
      </c>
      <c r="C4" s="52" t="inlineStr">
        <is>
          <t>Type</t>
        </is>
      </c>
      <c r="D4" s="52" t="inlineStr">
        <is>
          <t>Amount (£)</t>
        </is>
      </c>
      <c r="E4" s="52" t="inlineStr">
        <is>
          <t>Order ID</t>
        </is>
      </c>
      <c r="F4" s="52" t="inlineStr">
        <is>
          <t>Source</t>
        </is>
      </c>
    </row>
    <row r="5">
      <c r="A5" s="3" t="inlineStr">
        <is>
          <t>11-14684-46677</t>
        </is>
      </c>
      <c r="B5" s="3" t="inlineStr">
        <is>
          <t>2026-05-26</t>
        </is>
      </c>
      <c r="C5" s="3" t="inlineStr">
        <is>
          <t>SALE</t>
        </is>
      </c>
      <c r="D5" s="4" t="n">
        <v>1210.51</v>
      </c>
      <c r="E5" s="3" t="inlineStr">
        <is>
          <t>11-14684-46677</t>
        </is>
      </c>
      <c r="F5" s="3" t="inlineStr">
        <is>
          <t>eBay Finances API</t>
        </is>
      </c>
    </row>
    <row r="6">
      <c r="A6" s="19" t="inlineStr">
        <is>
          <t>23-14657-96725</t>
        </is>
      </c>
      <c r="B6" s="19" t="inlineStr">
        <is>
          <t>2026-05-24</t>
        </is>
      </c>
      <c r="C6" s="19" t="inlineStr">
        <is>
          <t>SALE</t>
        </is>
      </c>
      <c r="D6" s="14" t="n">
        <v>1210.51</v>
      </c>
      <c r="E6" s="19" t="inlineStr">
        <is>
          <t>23-14657-96725</t>
        </is>
      </c>
      <c r="F6" s="19" t="inlineStr">
        <is>
          <t>eBay Finances API</t>
        </is>
      </c>
    </row>
    <row r="7">
      <c r="A7" s="3" t="inlineStr">
        <is>
          <t>26-14652-90769</t>
        </is>
      </c>
      <c r="B7" s="3" t="inlineStr">
        <is>
          <t>2026-05-24</t>
        </is>
      </c>
      <c r="C7" s="3" t="inlineStr">
        <is>
          <t>SALE</t>
        </is>
      </c>
      <c r="D7" s="4" t="n">
        <v>1210.51</v>
      </c>
      <c r="E7" s="3" t="inlineStr">
        <is>
          <t>26-14652-90769</t>
        </is>
      </c>
      <c r="F7" s="3" t="inlineStr">
        <is>
          <t>eBay Finances API</t>
        </is>
      </c>
    </row>
    <row r="8">
      <c r="A8" s="19" t="inlineStr">
        <is>
          <t>FEE-8109165521911_11</t>
        </is>
      </c>
      <c r="B8" s="19" t="inlineStr">
        <is>
          <t>2026-05-21</t>
        </is>
      </c>
      <c r="C8" s="19" t="inlineStr">
        <is>
          <t>NON_SALE_CHARGE</t>
        </is>
      </c>
      <c r="D8" s="14" t="n">
        <v>0.12</v>
      </c>
      <c r="E8" s="19" t="inlineStr">
        <is>
          <t>—</t>
        </is>
      </c>
      <c r="F8" s="19" t="inlineStr">
        <is>
          <t>eBay Finances API</t>
        </is>
      </c>
    </row>
    <row r="10" ht="20" customHeight="1">
      <c r="A10" s="53" t="inlineStr">
        <is>
          <t xml:space="preserve">  Amazon Settlement Line Items</t>
        </is>
      </c>
    </row>
    <row r="11" ht="22" customHeight="1">
      <c r="A11" s="32" t="inlineStr">
        <is>
          <t>Settlement ID</t>
        </is>
      </c>
      <c r="B11" s="32" t="inlineStr">
        <is>
          <t>Posted Date</t>
        </is>
      </c>
      <c r="C11" s="32" t="inlineStr">
        <is>
          <t>Fee Type</t>
        </is>
      </c>
      <c r="D11" s="32" t="inlineStr">
        <is>
          <t>Amount (£)</t>
        </is>
      </c>
      <c r="E11" s="32" t="inlineStr">
        <is>
          <t>Order ID</t>
        </is>
      </c>
      <c r="F11" s="32" t="inlineStr">
        <is>
          <t>Source</t>
        </is>
      </c>
    </row>
    <row r="12">
      <c r="A12" s="35" t="inlineStr"/>
      <c r="B12" s="35" t="inlineStr">
        <is>
          <t>2026-05-21T07:41:54Z</t>
        </is>
      </c>
      <c r="C12" s="35" t="inlineStr">
        <is>
          <t>FBAPerUnitFulfillmentFee</t>
        </is>
      </c>
      <c r="D12" s="54" t="n">
        <v>-21</v>
      </c>
      <c r="E12" s="35" t="inlineStr">
        <is>
          <t>205-2200640-3552345</t>
        </is>
      </c>
      <c r="F12" s="35" t="inlineStr">
        <is>
          <t>SP-API Finances (Shipment)</t>
        </is>
      </c>
    </row>
    <row r="13">
      <c r="A13" s="3" t="inlineStr"/>
      <c r="B13" s="3" t="inlineStr">
        <is>
          <t>2026-05-21T07:41:54Z</t>
        </is>
      </c>
      <c r="C13" s="3" t="inlineStr">
        <is>
          <t>DigitalServicesFee</t>
        </is>
      </c>
      <c r="D13" s="4" t="n">
        <v>-0.42</v>
      </c>
      <c r="E13" s="3" t="inlineStr">
        <is>
          <t>205-2200640-3552345</t>
        </is>
      </c>
      <c r="F13" s="3" t="inlineStr">
        <is>
          <t>SP-API Finances (Shipment)</t>
        </is>
      </c>
    </row>
    <row r="14">
      <c r="A14" s="35" t="inlineStr"/>
      <c r="B14" s="35" t="inlineStr">
        <is>
          <t>2026-05-21T07:42:22Z</t>
        </is>
      </c>
      <c r="C14" s="35" t="inlineStr">
        <is>
          <t>FBAPerUnitFulfillmentFee</t>
        </is>
      </c>
      <c r="D14" s="54" t="n">
        <v>-21</v>
      </c>
      <c r="E14" s="35" t="inlineStr">
        <is>
          <t>206-1344523-0716363</t>
        </is>
      </c>
      <c r="F14" s="35" t="inlineStr">
        <is>
          <t>SP-API Finances (Shipment)</t>
        </is>
      </c>
    </row>
    <row r="15">
      <c r="A15" s="3" t="inlineStr"/>
      <c r="B15" s="3" t="inlineStr">
        <is>
          <t>2026-05-21T07:42:22Z</t>
        </is>
      </c>
      <c r="C15" s="3" t="inlineStr">
        <is>
          <t>DigitalServicesFee</t>
        </is>
      </c>
      <c r="D15" s="4" t="n">
        <v>-0.42</v>
      </c>
      <c r="E15" s="3" t="inlineStr">
        <is>
          <t>206-1344523-0716363</t>
        </is>
      </c>
      <c r="F15" s="3" t="inlineStr">
        <is>
          <t>SP-API Finances (Shipment)</t>
        </is>
      </c>
    </row>
    <row r="16">
      <c r="A16" s="35" t="inlineStr"/>
      <c r="B16" s="35" t="inlineStr">
        <is>
          <t>2026-05-22T11:23:59Z</t>
        </is>
      </c>
      <c r="C16" s="35" t="inlineStr">
        <is>
          <t>FBAPerUnitFulfillmentFee</t>
        </is>
      </c>
      <c r="D16" s="54" t="n">
        <v>-21</v>
      </c>
      <c r="E16" s="35" t="inlineStr">
        <is>
          <t>202-3039903-6629120</t>
        </is>
      </c>
      <c r="F16" s="35" t="inlineStr">
        <is>
          <t>SP-API Finances (Shipment)</t>
        </is>
      </c>
    </row>
    <row r="17">
      <c r="A17" s="3" t="inlineStr"/>
      <c r="B17" s="3" t="inlineStr">
        <is>
          <t>2026-05-22T11:23:59Z</t>
        </is>
      </c>
      <c r="C17" s="3" t="inlineStr">
        <is>
          <t>DigitalServicesFee</t>
        </is>
      </c>
      <c r="D17" s="4" t="n">
        <v>-0.42</v>
      </c>
      <c r="E17" s="3" t="inlineStr">
        <is>
          <t>202-3039903-6629120</t>
        </is>
      </c>
      <c r="F17" s="3" t="inlineStr">
        <is>
          <t>SP-API Finances (Shipment)</t>
        </is>
      </c>
    </row>
    <row r="18">
      <c r="A18" s="35" t="inlineStr"/>
      <c r="B18" s="35" t="inlineStr">
        <is>
          <t>2026-05-22T14:55:54Z</t>
        </is>
      </c>
      <c r="C18" s="35" t="inlineStr">
        <is>
          <t>FBAPerUnitFulfillmentFee</t>
        </is>
      </c>
      <c r="D18" s="54" t="n">
        <v>-21</v>
      </c>
      <c r="E18" s="35" t="inlineStr">
        <is>
          <t>206-7951884-4993924</t>
        </is>
      </c>
      <c r="F18" s="35" t="inlineStr">
        <is>
          <t>SP-API Finances (Shipment)</t>
        </is>
      </c>
    </row>
    <row r="19">
      <c r="A19" s="3" t="inlineStr"/>
      <c r="B19" s="3" t="inlineStr">
        <is>
          <t>2026-05-22T14:55:54Z</t>
        </is>
      </c>
      <c r="C19" s="3" t="inlineStr">
        <is>
          <t>DigitalServicesFee</t>
        </is>
      </c>
      <c r="D19" s="4" t="n">
        <v>-0.42</v>
      </c>
      <c r="E19" s="3" t="inlineStr">
        <is>
          <t>206-7951884-4993924</t>
        </is>
      </c>
      <c r="F19" s="3" t="inlineStr">
        <is>
          <t>SP-API Finances (Shipment)</t>
        </is>
      </c>
    </row>
    <row r="20">
      <c r="A20" s="35" t="inlineStr"/>
      <c r="B20" s="35" t="inlineStr">
        <is>
          <t>2026-05-22T17:31:34Z</t>
        </is>
      </c>
      <c r="C20" s="35" t="inlineStr">
        <is>
          <t>FBAPerUnitFulfillmentFee</t>
        </is>
      </c>
      <c r="D20" s="54" t="n">
        <v>-21</v>
      </c>
      <c r="E20" s="35" t="inlineStr">
        <is>
          <t>202-7820770-2941113</t>
        </is>
      </c>
      <c r="F20" s="35" t="inlineStr">
        <is>
          <t>SP-API Finances (Shipment)</t>
        </is>
      </c>
    </row>
    <row r="21">
      <c r="A21" s="3" t="inlineStr"/>
      <c r="B21" s="3" t="inlineStr">
        <is>
          <t>2026-05-22T17:31:34Z</t>
        </is>
      </c>
      <c r="C21" s="3" t="inlineStr">
        <is>
          <t>DigitalServicesFee</t>
        </is>
      </c>
      <c r="D21" s="4" t="n">
        <v>-0.42</v>
      </c>
      <c r="E21" s="3" t="inlineStr">
        <is>
          <t>202-7820770-2941113</t>
        </is>
      </c>
      <c r="F21" s="3" t="inlineStr">
        <is>
          <t>SP-API Finances (Shipment)</t>
        </is>
      </c>
    </row>
    <row r="22">
      <c r="A22" s="35" t="inlineStr"/>
      <c r="B22" s="35" t="inlineStr">
        <is>
          <t>2026-05-22T22:47:23Z</t>
        </is>
      </c>
      <c r="C22" s="35" t="inlineStr">
        <is>
          <t>FBAPerUnitFulfillmentFee</t>
        </is>
      </c>
      <c r="D22" s="54" t="n">
        <v>-21</v>
      </c>
      <c r="E22" s="35" t="inlineStr">
        <is>
          <t>204-1195404-8885100</t>
        </is>
      </c>
      <c r="F22" s="35" t="inlineStr">
        <is>
          <t>SP-API Finances (Shipment)</t>
        </is>
      </c>
    </row>
    <row r="23">
      <c r="A23" s="3" t="inlineStr"/>
      <c r="B23" s="3" t="inlineStr">
        <is>
          <t>2026-05-22T22:47:23Z</t>
        </is>
      </c>
      <c r="C23" s="3" t="inlineStr">
        <is>
          <t>DigitalServicesFee</t>
        </is>
      </c>
      <c r="D23" s="4" t="n">
        <v>-0.42</v>
      </c>
      <c r="E23" s="3" t="inlineStr">
        <is>
          <t>204-1195404-8885100</t>
        </is>
      </c>
      <c r="F23" s="3" t="inlineStr">
        <is>
          <t>SP-API Finances (Shipment)</t>
        </is>
      </c>
    </row>
    <row r="24">
      <c r="A24" s="35" t="inlineStr"/>
      <c r="B24" s="35" t="inlineStr">
        <is>
          <t>2026-05-23T15:53:20Z</t>
        </is>
      </c>
      <c r="C24" s="35" t="inlineStr">
        <is>
          <t>FBAPerUnitFulfillmentFee</t>
        </is>
      </c>
      <c r="D24" s="54" t="n">
        <v>-21</v>
      </c>
      <c r="E24" s="35" t="inlineStr">
        <is>
          <t>203-9402145-8440362</t>
        </is>
      </c>
      <c r="F24" s="35" t="inlineStr">
        <is>
          <t>SP-API Finances (Shipment)</t>
        </is>
      </c>
    </row>
    <row r="25">
      <c r="A25" s="3" t="inlineStr"/>
      <c r="B25" s="3" t="inlineStr">
        <is>
          <t>2026-05-23T15:53:20Z</t>
        </is>
      </c>
      <c r="C25" s="3" t="inlineStr">
        <is>
          <t>DigitalServicesFee</t>
        </is>
      </c>
      <c r="D25" s="4" t="n">
        <v>-0.42</v>
      </c>
      <c r="E25" s="3" t="inlineStr">
        <is>
          <t>203-9402145-8440362</t>
        </is>
      </c>
      <c r="F25" s="3" t="inlineStr">
        <is>
          <t>SP-API Finances (Shipment)</t>
        </is>
      </c>
    </row>
    <row r="26">
      <c r="A26" s="35" t="inlineStr"/>
      <c r="B26" s="35" t="inlineStr">
        <is>
          <t>2026-05-23T23:16:19Z</t>
        </is>
      </c>
      <c r="C26" s="35" t="inlineStr">
        <is>
          <t>Commission</t>
        </is>
      </c>
      <c r="D26" s="54" t="n">
        <v>-90</v>
      </c>
      <c r="E26" s="35" t="inlineStr">
        <is>
          <t>202-7890268-7653122</t>
        </is>
      </c>
      <c r="F26" s="35" t="inlineStr">
        <is>
          <t>SP-API Finances (Shipment)</t>
        </is>
      </c>
    </row>
    <row r="27">
      <c r="A27" s="3" t="inlineStr"/>
      <c r="B27" s="3" t="inlineStr">
        <is>
          <t>2026-05-23T23:16:19Z</t>
        </is>
      </c>
      <c r="C27" s="3" t="inlineStr">
        <is>
          <t>DigitalServicesFee</t>
        </is>
      </c>
      <c r="D27" s="4" t="n">
        <v>-1.8</v>
      </c>
      <c r="E27" s="3" t="inlineStr">
        <is>
          <t>202-7890268-7653122</t>
        </is>
      </c>
      <c r="F27" s="3" t="inlineStr">
        <is>
          <t>SP-API Finances (Shipment)</t>
        </is>
      </c>
    </row>
    <row r="28">
      <c r="A28" s="35" t="inlineStr"/>
      <c r="B28" s="35" t="inlineStr">
        <is>
          <t>2026-05-24T14:49:23Z</t>
        </is>
      </c>
      <c r="C28" s="35" t="inlineStr">
        <is>
          <t>FBAPerUnitFulfillmentFee</t>
        </is>
      </c>
      <c r="D28" s="54" t="n">
        <v>-21</v>
      </c>
      <c r="E28" s="35" t="inlineStr">
        <is>
          <t>205-2429037-4217928</t>
        </is>
      </c>
      <c r="F28" s="35" t="inlineStr">
        <is>
          <t>SP-API Finances (Shipment)</t>
        </is>
      </c>
    </row>
    <row r="29">
      <c r="A29" s="3" t="inlineStr"/>
      <c r="B29" s="3" t="inlineStr">
        <is>
          <t>2026-05-24T14:49:23Z</t>
        </is>
      </c>
      <c r="C29" s="3" t="inlineStr">
        <is>
          <t>DigitalServicesFee</t>
        </is>
      </c>
      <c r="D29" s="4" t="n">
        <v>-0.42</v>
      </c>
      <c r="E29" s="3" t="inlineStr">
        <is>
          <t>205-2429037-4217928</t>
        </is>
      </c>
      <c r="F29" s="3" t="inlineStr">
        <is>
          <t>SP-API Finances (Shipment)</t>
        </is>
      </c>
    </row>
    <row r="30">
      <c r="A30" s="35" t="inlineStr"/>
      <c r="B30" s="35" t="inlineStr">
        <is>
          <t>2026-05-23T17:42:11Z</t>
        </is>
      </c>
      <c r="C30" s="35" t="inlineStr">
        <is>
          <t>Commission</t>
        </is>
      </c>
      <c r="D30" s="54" t="n">
        <v>36</v>
      </c>
      <c r="E30" s="35" t="inlineStr">
        <is>
          <t>204-5225425-6906718</t>
        </is>
      </c>
      <c r="F30" s="35" t="inlineStr">
        <is>
          <t>SP-API Finances (Refund)</t>
        </is>
      </c>
    </row>
    <row r="31">
      <c r="A31" s="3" t="inlineStr"/>
      <c r="B31" s="3" t="inlineStr">
        <is>
          <t>2026-05-23T17:42:11Z</t>
        </is>
      </c>
      <c r="C31" s="3" t="inlineStr">
        <is>
          <t>RefundCommission</t>
        </is>
      </c>
      <c r="D31" s="4" t="n">
        <v>-6</v>
      </c>
      <c r="E31" s="3" t="inlineStr">
        <is>
          <t>204-5225425-6906718</t>
        </is>
      </c>
      <c r="F31" s="3" t="inlineStr">
        <is>
          <t>SP-API Finances (Refund)</t>
        </is>
      </c>
    </row>
    <row r="33" ht="20" customHeight="1">
      <c r="A33" s="11" t="inlineStr">
        <is>
          <t xml:space="preserve">  Google Ads — Campaign Spend</t>
        </is>
      </c>
    </row>
    <row r="34" ht="22" customHeight="1">
      <c r="A34" s="52" t="inlineStr">
        <is>
          <t>Campaign ID</t>
        </is>
      </c>
      <c r="B34" s="52" t="inlineStr">
        <is>
          <t>Type</t>
        </is>
      </c>
      <c r="C34" s="52" t="inlineStr">
        <is>
          <t>Campaign Name</t>
        </is>
      </c>
      <c r="D34" s="52" t="inlineStr">
        <is>
          <t>Spend (£)</t>
        </is>
      </c>
      <c r="E34" s="52" t="inlineStr">
        <is>
          <t>Impressions</t>
        </is>
      </c>
      <c r="F34" s="52" t="inlineStr">
        <is>
          <t>Clicks</t>
        </is>
      </c>
    </row>
    <row r="35">
      <c r="A35" s="3" t="inlineStr">
        <is>
          <t>22988998513</t>
        </is>
      </c>
      <c r="B35" s="3" t="inlineStr">
        <is>
          <t>PERFORMANCE_MAX</t>
        </is>
      </c>
      <c r="C35" s="3" t="inlineStr">
        <is>
          <t>Categories | PMax | CS</t>
        </is>
      </c>
      <c r="D35" s="4" t="n">
        <v>1499.612358</v>
      </c>
      <c r="E35" s="3" t="n">
        <v>127620</v>
      </c>
      <c r="F35" s="3" t="n">
        <v>2430</v>
      </c>
    </row>
  </sheetData>
  <mergeCells count="4">
    <mergeCell ref="A3:F3"/>
    <mergeCell ref="A33:F3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2026-05-26T09:12:36Z</dcterms:created>
  <dcterms:modified xmlns:dcterms="http://purl.org/dc/terms/" xmlns:xsi="http://www.w3.org/2001/XMLSchema-instance" xsi:type="dcterms:W3CDTF">2026-05-26T09:12:36Z</dcterms:modified>
</cp:coreProperties>
</file>