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rketplace Fees &amp; Commissions" sheetId="2" state="visible" r:id="rId4"/>
    <sheet name="FBA Returns &amp; Removals" sheetId="3" state="visible" r:id="rId5"/>
    <sheet name="Cancellations" sheetId="4" state="visible" r:id="rId6"/>
    <sheet name="Ad Spend" sheetId="5" state="visible" r:id="rId7"/>
    <sheet name="Raw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<sst xmlns="http://schemas.openxmlformats.org/spreadsheetml/2006/main" count="319" uniqueCount="182">
  <si>
    <t xml:space="preserve">MowDirect — Monthly Cost Report  |  May 2026</t>
  </si>
  <si>
    <t xml:space="preserve">Metric</t>
  </si>
  <si>
    <t xml:space="preserve">Amount (£)</t>
  </si>
  <si>
    <t xml:space="preserve">% of Net Revenue</t>
  </si>
  <si>
    <t xml:space="preserve">Notes</t>
  </si>
  <si>
    <t xml:space="preserve">Net Revenue (all channels, ex-VAT)</t>
  </si>
  <si>
    <t xml:space="preserve">Shopify Direct + eBay + Amazon + ManoMano + OnBuy + B&amp;Q</t>
  </si>
  <si>
    <t xml:space="preserve">Marketplace commissions &amp; fees</t>
  </si>
  <si>
    <t xml:space="preserve">Referral fees, subscriptions, listing charges — see Marketplace Fees tab</t>
  </si>
  <si>
    <t xml:space="preserve">Commission paid to Wayne Theisinger</t>
  </si>
  <si>
    <t xml:space="preserve">Post Audit – Actual Invoiced Amount</t>
  </si>
  <si>
    <t xml:space="preserve">Total paid ad spend</t>
  </si>
  <si>
    <t xml:space="preserve">Google Ads + eBay Promoted Listings</t>
  </si>
  <si>
    <t xml:space="preserve">Total deductions (fees + commission + ads)</t>
  </si>
  <si>
    <t xml:space="preserve">All costs combined</t>
  </si>
  <si>
    <t xml:space="preserve">Contribution after deductions</t>
  </si>
  <si>
    <t xml:space="preserve">Net revenue minus all marketplace costs.</t>
  </si>
  <si>
    <t xml:space="preserve">  Commissions &amp; Fees by Channel</t>
  </si>
  <si>
    <t xml:space="preserve">Channel</t>
  </si>
  <si>
    <t xml:space="preserve">Net Revenue (£)</t>
  </si>
  <si>
    <t xml:space="preserve">Commissions &amp; Fees (£)</t>
  </si>
  <si>
    <t xml:space="preserve">Fee %</t>
  </si>
  <si>
    <t xml:space="preserve">Shopify Direct</t>
  </si>
  <si>
    <t xml:space="preserve">eBay</t>
  </si>
  <si>
    <t xml:space="preserve">Amazon</t>
  </si>
  <si>
    <t xml:space="preserve">B&amp;Q (Mirakl)</t>
  </si>
  <si>
    <t xml:space="preserve">TOTAL</t>
  </si>
  <si>
    <t xml:space="preserve">  Ad Spend by Platform</t>
  </si>
  <si>
    <t xml:space="preserve">Platform</t>
  </si>
  <si>
    <t xml:space="preserve">Spend (£)</t>
  </si>
  <si>
    <t xml:space="preserve">Note / Coverage</t>
  </si>
  <si>
    <t xml:space="preserve">Google Ads</t>
  </si>
  <si>
    <t xml:space="preserve">COMPLETE</t>
  </si>
  <si>
    <t xml:space="preserve">eBay Promoted Listings</t>
  </si>
  <si>
    <t xml:space="preserve">Marketplace Commissions &amp; Fees  |  May 2026</t>
  </si>
  <si>
    <t xml:space="preserve">Fee Type</t>
  </si>
  <si>
    <t xml:space="preserve">Net Channel Revenue (£)</t>
  </si>
  <si>
    <t xml:space="preserve">Fee as % of Net Revenue</t>
  </si>
  <si>
    <t xml:space="preserve">Data Source</t>
  </si>
  <si>
    <t xml:space="preserve">Coverage</t>
  </si>
  <si>
    <t xml:space="preserve">Payment processing fees</t>
  </si>
  <si>
    <t xml:space="preserve">Shopify GraphQL</t>
  </si>
  <si>
    <t xml:space="preserve">Shopify Direct subtotal</t>
  </si>
  <si>
    <t xml:space="preserve">Final value fees</t>
  </si>
  <si>
    <t xml:space="preserve">eBay Finances API</t>
  </si>
  <si>
    <t xml:space="preserve">Regulatory operating fee</t>
  </si>
  <si>
    <t xml:space="preserve">Fixed per-order fee</t>
  </si>
  <si>
    <t xml:space="preserve">Other eBay charges</t>
  </si>
  <si>
    <t xml:space="preserve">Insertion fees</t>
  </si>
  <si>
    <t xml:space="preserve">Fee credits (refunds from eBay)</t>
  </si>
  <si>
    <t xml:space="preserve">eBay subtotal</t>
  </si>
  <si>
    <t xml:space="preserve">Commission</t>
  </si>
  <si>
    <t xml:space="preserve">SP-API Finances (Principal) · correct to: 29 May 2026</t>
  </si>
  <si>
    <t xml:space="preserve">DigitalServicesFee</t>
  </si>
  <si>
    <t xml:space="preserve">RefundCommission</t>
  </si>
  <si>
    <t xml:space="preserve">Subscription</t>
  </si>
  <si>
    <t xml:space="preserve">Amazon subtotal</t>
  </si>
  <si>
    <t xml:space="preserve">Mirakl API</t>
  </si>
  <si>
    <t xml:space="preserve">B&amp;Q (Mirakl) subtotal</t>
  </si>
  <si>
    <t xml:space="preserve">GRAND TOTAL — MARKETPLACE FEES</t>
  </si>
  <si>
    <t xml:space="preserve">ℹ  Margin note — Amazon's referral fee is ~15% of GROSS (inc-VAT) sales, which works out to a HIGHER share of NET (ex-VAT) revenue — ~18-19%, as shown above. This is a real effect to be aware of: Amazon's effective cost against net revenue genuinely exceeds the 15% headline rate. It is surfaced here deliberately rather than masked. (Fees are already shown ex-VAT — the reclaimable 20% VAT Amazon charges on its fees has been removed.)</t>
  </si>
  <si>
    <t xml:space="preserve">Amazon FBA — Returns, Removals &amp; Stranded Stock  |  May 2026</t>
  </si>
  <si>
    <t xml:space="preserve">  Customer Returns Received by Amazon</t>
  </si>
  <si>
    <t xml:space="preserve">Disposition</t>
  </si>
  <si>
    <t xml:space="preserve">Units</t>
  </si>
  <si>
    <t xml:space="preserve">Lines</t>
  </si>
  <si>
    <t xml:space="preserve">% of Returns</t>
  </si>
  <si>
    <t xml:space="preserve">Unsellable — customer damaged</t>
  </si>
  <si>
    <t xml:space="preserve">TOTAL CUSTOMER RETURNS</t>
  </si>
  <si>
    <t xml:space="preserve">↳ Returned to active inventory</t>
  </si>
  <si>
    <t xml:space="preserve">Available for re-sale immediately.</t>
  </si>
  <si>
    <t xml:space="preserve">↳ Stranded as unfulfillable</t>
  </si>
  <si>
    <t xml:space="preserve">Sit at Amazon until removed, disposed of, or aged out.</t>
  </si>
  <si>
    <t xml:space="preserve">  Removal Shipments (units processed by Amazon this month)</t>
  </si>
  <si>
    <t xml:space="preserve">Order Type</t>
  </si>
  <si>
    <t xml:space="preserve">Shipments</t>
  </si>
  <si>
    <t xml:space="preserve">Meaning</t>
  </si>
  <si>
    <t xml:space="preserve">Return</t>
  </si>
  <si>
    <t xml:space="preserve">Shipped back to MowDirect.</t>
  </si>
  <si>
    <t xml:space="preserve">TOTAL REMOVAL UNITS</t>
  </si>
  <si>
    <t xml:space="preserve">  Removal &amp; Disposal Costs (from Amazon Finances)</t>
  </si>
  <si>
    <t xml:space="preserve">FBA removal fees</t>
  </si>
  <si>
    <t xml:space="preserve">Per-unit fee charged when removing stranded stock.</t>
  </si>
  <si>
    <t xml:space="preserve">TOTAL REMOVAL / DISPOSAL COST</t>
  </si>
  <si>
    <t xml:space="preserve">  Current Inventory Snapshot — units sitting at Amazon today</t>
  </si>
  <si>
    <t xml:space="preserve">Bucket</t>
  </si>
  <si>
    <t xml:space="preserve">Fulfillable (sellable)</t>
  </si>
  <si>
    <t xml:space="preserve">Active inventory available to ship to customers.</t>
  </si>
  <si>
    <t xml:space="preserve">Unfulfillable</t>
  </si>
  <si>
    <t xml:space="preserve">Stranded — could be removed or disposed.</t>
  </si>
  <si>
    <t xml:space="preserve">Researching</t>
  </si>
  <si>
    <t xml:space="preserve">Lost/damaged claims under investigation by Amazon.</t>
  </si>
  <si>
    <t xml:space="preserve">Inbound working</t>
  </si>
  <si>
    <t xml:space="preserve">Shipment created in Seller Central but not yet sent.</t>
  </si>
  <si>
    <t xml:space="preserve">Inbound shipped</t>
  </si>
  <si>
    <t xml:space="preserve">In transit from MowDirect/supplier to fulfilment centre.</t>
  </si>
  <si>
    <t xml:space="preserve">Inbound receiving</t>
  </si>
  <si>
    <t xml:space="preserve">Arrived at FC, being checked in.</t>
  </si>
  <si>
    <t xml:space="preserve">AVAILABLE TO BE PICKED UP / DISPOSED</t>
  </si>
  <si>
    <t xml:space="preserve">ℹ  Inventory snapshot covers 28 active FBA SKUs at the time of report generation. Customer-returns and removal-shipment figures cover the reporting month only.</t>
  </si>
  <si>
    <t xml:space="preserve">Order Cancellations  |  May 2026</t>
  </si>
  <si>
    <t xml:space="preserve">Reason / Attribution</t>
  </si>
  <si>
    <t xml:space="preserve">Orders</t>
  </si>
  <si>
    <t xml:space="preserve">Value (£)</t>
  </si>
  <si>
    <t xml:space="preserve">Notes / Coverage</t>
  </si>
  <si>
    <t xml:space="preserve">Unknown</t>
  </si>
  <si>
    <t xml:space="preserve">Customer</t>
  </si>
  <si>
    <t xml:space="preserve">Cancelled (attribution not exposed by SP-API; £ figure covers 1 of 15 orders)</t>
  </si>
  <si>
    <t xml:space="preserve">Customer-cancelled</t>
  </si>
  <si>
    <t xml:space="preserve">TOTAL CANCELLATIONS</t>
  </si>
  <si>
    <t xml:space="preserve">ℹ  Direct channel APIs only — Shopify (cancelReason), Amazon SP-API (IsBuyerRequestedCancellation), Mirakl/B&amp;Q (state). ManoMano, OnBuy and eBay cancellations are not yet covered.</t>
  </si>
  <si>
    <t xml:space="preserve">Paid Ad Spend  |  May 2026</t>
  </si>
  <si>
    <t xml:space="preserve">Campaign</t>
  </si>
  <si>
    <t xml:space="preserve">Conversions</t>
  </si>
  <si>
    <t xml:space="preserve">Conv. Value (£)</t>
  </si>
  <si>
    <t xml:space="preserve">Cost / Conv (£)</t>
  </si>
  <si>
    <t xml:space="preserve">ROAS</t>
  </si>
  <si>
    <t xml:space="preserve">Impressions</t>
  </si>
  <si>
    <t xml:space="preserve">Clicks</t>
  </si>
  <si>
    <t xml:space="preserve">CTR</t>
  </si>
  <si>
    <t xml:space="preserve">Categories | PMax | CS</t>
  </si>
  <si>
    <t xml:space="preserve">TOTAL AD SPEND</t>
  </si>
  <si>
    <t xml:space="preserve">ℹ  Showing campaigns with spend only. Conversions / Conv. Value / Cost-per-Conv / ROAS reflect Google Ads conversion tracking; eBay Promoted Listings does not yet feed conversion data into this report.</t>
  </si>
  <si>
    <t xml:space="preserve">Raw Data — Transactions  |  May 2026</t>
  </si>
  <si>
    <t xml:space="preserve">  eBay Finance Transactions</t>
  </si>
  <si>
    <t xml:space="preserve">Transaction ID</t>
  </si>
  <si>
    <t xml:space="preserve">Date</t>
  </si>
  <si>
    <t xml:space="preserve">Type</t>
  </si>
  <si>
    <t xml:space="preserve">Order ID</t>
  </si>
  <si>
    <t xml:space="preserve">Source</t>
  </si>
  <si>
    <t xml:space="preserve">10-14707-57595</t>
  </si>
  <si>
    <t xml:space="preserve">2026-05-31</t>
  </si>
  <si>
    <t xml:space="preserve">SALE</t>
  </si>
  <si>
    <t xml:space="preserve">20-14679-79480</t>
  </si>
  <si>
    <t xml:space="preserve">2026-05-28</t>
  </si>
  <si>
    <t xml:space="preserve">13-14688-79237</t>
  </si>
  <si>
    <t xml:space="preserve">2026-05-27</t>
  </si>
  <si>
    <t xml:space="preserve">17-14677-02970</t>
  </si>
  <si>
    <t xml:space="preserve">2026-05-26</t>
  </si>
  <si>
    <t xml:space="preserve">11-14684-46677</t>
  </si>
  <si>
    <t xml:space="preserve">23-14657-96725</t>
  </si>
  <si>
    <t xml:space="preserve">2026-05-24</t>
  </si>
  <si>
    <t xml:space="preserve">26-14652-90769</t>
  </si>
  <si>
    <t xml:space="preserve">FEE-8109165521911_11</t>
  </si>
  <si>
    <t xml:space="preserve">2026-05-21</t>
  </si>
  <si>
    <t xml:space="preserve">NON_SALE_CHARGE</t>
  </si>
  <si>
    <t xml:space="preserve">—</t>
  </si>
  <si>
    <t xml:space="preserve">DISPUTE_HOLD_REVERSE-6671255098-6549824969</t>
  </si>
  <si>
    <t xml:space="preserve">2026-05-09</t>
  </si>
  <si>
    <t xml:space="preserve">CREDIT</t>
  </si>
  <si>
    <t xml:space="preserve">04-14399-98099</t>
  </si>
  <si>
    <t xml:space="preserve">24905182983</t>
  </si>
  <si>
    <t xml:space="preserve">2026-05-08</t>
  </si>
  <si>
    <t xml:space="preserve">TRANSFER</t>
  </si>
  <si>
    <t xml:space="preserve">INVOICE-8051230661111_11</t>
  </si>
  <si>
    <t xml:space="preserve">2026-05-01</t>
  </si>
  <si>
    <t xml:space="preserve">  Amazon Settlement Line Items</t>
  </si>
  <si>
    <t xml:space="preserve">Settlement ID</t>
  </si>
  <si>
    <t xml:space="preserve">Posted Date</t>
  </si>
  <si>
    <t xml:space="preserve">2026-05-01T17:14:42Z</t>
  </si>
  <si>
    <t xml:space="preserve">205-6979605-2383515</t>
  </si>
  <si>
    <t xml:space="preserve">SP-API Finances (Shipment)</t>
  </si>
  <si>
    <t xml:space="preserve">2026-05-01T17:51:56Z</t>
  </si>
  <si>
    <t xml:space="preserve">FBAPerUnitFulfillmentFee</t>
  </si>
  <si>
    <t xml:space="preserve">202-4668783-3203504</t>
  </si>
  <si>
    <t xml:space="preserve">2026-05-01T20:37:08Z</t>
  </si>
  <si>
    <t xml:space="preserve">202-8129877-5077123</t>
  </si>
  <si>
    <t xml:space="preserve">2026-05-01T20:48:25Z</t>
  </si>
  <si>
    <t xml:space="preserve">205-3129033-4169965</t>
  </si>
  <si>
    <t xml:space="preserve">2026-05-01T21:13:38Z</t>
  </si>
  <si>
    <t xml:space="preserve">206-1314824-4601121</t>
  </si>
  <si>
    <t xml:space="preserve">2026-05-01T21:37:03Z</t>
  </si>
  <si>
    <t xml:space="preserve">202-9133454-1737925</t>
  </si>
  <si>
    <t xml:space="preserve">2026-05-01T22:03:30Z</t>
  </si>
  <si>
    <t xml:space="preserve">206-4544056-8132308</t>
  </si>
  <si>
    <t xml:space="preserve">2026-05-01T22:08:04Z</t>
  </si>
  <si>
    <t xml:space="preserve">204-0183953-9580342</t>
  </si>
  <si>
    <t xml:space="preserve">  Google Ads — Campaign Spend</t>
  </si>
  <si>
    <t xml:space="preserve">Campaign ID</t>
  </si>
  <si>
    <t xml:space="preserve">Campaign Name</t>
  </si>
  <si>
    <t xml:space="preserve">22988998513</t>
  </si>
  <si>
    <t xml:space="preserve">PERFORMANCE_MAX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</si>
</sst>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#,##0.00"/>
    <numFmt numFmtId="166" formatCode="0.0%"/>
    <numFmt numFmtId="167" formatCode="@"/>
    <numFmt numFmtId="168" formatCode="#,##0"/>
    <numFmt numFmtId="169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color rgb="FF212121"/>
      <name val="Cambria"/>
      <family val="0"/>
      <charset val="1"/>
    </font>
    <font>
      <i val="true"/>
      <sz val="10"/>
      <color rgb="FF757575"/>
      <name val="Cambria"/>
      <family val="0"/>
      <charset val="1"/>
    </font>
    <font>
      <b val="true"/>
      <sz val="10"/>
      <color rgb="FF212121"/>
      <name val="Cambria"/>
      <family val="0"/>
      <charset val="1"/>
    </font>
    <font>
      <b val="true"/>
      <sz val="10"/>
      <color rgb="FF2E7D32"/>
      <name val="Cambria"/>
      <family val="0"/>
      <charset val="1"/>
    </font>
    <font>
      <i val="true"/>
      <sz val="9"/>
      <color rgb="FFE65100"/>
      <name val="Cambria"/>
      <family val="0"/>
      <charset val="1"/>
    </font>
    <font>
      <b val="true"/>
      <sz val="10"/>
      <color rgb="FF0D47A1"/>
      <name val="Cambria"/>
      <family val="0"/>
      <charset val="1"/>
    </font>
    <font>
      <i val="true"/>
      <sz val="10"/>
      <color rgb="FF212121"/>
      <name val="Cambria"/>
      <family val="0"/>
      <charset val="1"/>
    </font>
    <font>
      <i val="true"/>
      <sz val="9"/>
      <color rgb="FF0D47A1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FFFFFF"/>
        <bgColor rgb="FFFFF8E1"/>
      </patternFill>
    </fill>
    <fill>
      <patternFill patternType="solid">
        <fgColor rgb="FFC8E6C9"/>
        <bgColor rgb="FFE0E0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E3F2FD"/>
      </patternFill>
    </fill>
    <fill>
      <patternFill patternType="solid">
        <fgColor rgb="FFFFF8E1"/>
        <bgColor rgb="FFFFFFFF"/>
      </patternFill>
    </fill>
    <fill>
      <patternFill patternType="solid">
        <fgColor rgb="FF0D47A1"/>
        <bgColor rgb="FF1565C0"/>
      </patternFill>
    </fill>
    <fill>
      <patternFill patternType="solid">
        <fgColor rgb="FF1565C0"/>
        <bgColor rgb="FF0D47A1"/>
      </patternFill>
    </fill>
    <fill>
      <patternFill patternType="solid">
        <fgColor rgb="FFBBDEFB"/>
        <bgColor rgb="FFC8E6C9"/>
      </patternFill>
    </fill>
    <fill>
      <patternFill patternType="solid">
        <fgColor rgb="FFE3F2FD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E0E0E0"/>
      <rgbColor rgb="FF757575"/>
      <rgbColor rgb="FF9999FF"/>
      <rgbColor rgb="FF993366"/>
      <rgbColor rgb="FFFFF8E1"/>
      <rgbColor rgb="FFE3F2FD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D47A1"/>
      <rgbColor rgb="FF2E7D32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4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3.75" hidden="false" customHeight="true" outlineLevel="0" collapsed="false"/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8" hidden="false" customHeight="true" outlineLevel="0" collapsed="false">
      <c r="A4" s="3" t="s">
        <v>5</v>
      </c>
      <c r="B4" s="4" t="n">
        <f aca="false">'Marketplace Fees &amp; Commissions'!D20</f>
        <v>244331.12</v>
      </c>
      <c r="C4" s="5" t="n">
        <f aca="false">IFERROR(B4/B4,0)</f>
        <v>1</v>
      </c>
      <c r="D4" s="6" t="s">
        <v>6</v>
      </c>
    </row>
    <row r="5" customFormat="false" ht="7.5" hidden="false" customHeight="true" outlineLevel="0" collapsed="false"/>
    <row r="6" customFormat="false" ht="18" hidden="false" customHeight="true" outlineLevel="0" collapsed="false">
      <c r="A6" s="3" t="s">
        <v>7</v>
      </c>
      <c r="B6" s="4" t="n">
        <f aca="false">'Marketplace Fees &amp; Commissions'!C20</f>
        <v>15738.67</v>
      </c>
      <c r="C6" s="5" t="n">
        <f aca="false">IFERROR(B6/B4,0)</f>
        <v>0.0644153311293298</v>
      </c>
      <c r="D6" s="6" t="s">
        <v>8</v>
      </c>
    </row>
    <row r="7" customFormat="false" ht="18" hidden="false" customHeight="true" outlineLevel="0" collapsed="false">
      <c r="A7" s="3" t="s">
        <v>9</v>
      </c>
      <c r="B7" s="4" t="n">
        <v>9120.47</v>
      </c>
      <c r="C7" s="5" t="n">
        <f aca="false">IFERROR(B7/B4,0)</f>
        <v>0.0373283190450729</v>
      </c>
      <c r="D7" s="6" t="s">
        <v>10</v>
      </c>
    </row>
    <row r="8" customFormat="false" ht="18" hidden="false" customHeight="true" outlineLevel="0" collapsed="false">
      <c r="A8" s="3" t="s">
        <v>11</v>
      </c>
      <c r="B8" s="4" t="n">
        <f aca="false">'Ad Spend'!C6</f>
        <v>11786.06</v>
      </c>
      <c r="C8" s="5" t="n">
        <f aca="false">IFERROR(B8/B4,0)</f>
        <v>0.0482380631660838</v>
      </c>
      <c r="D8" s="6" t="s">
        <v>12</v>
      </c>
    </row>
    <row r="9" customFormat="false" ht="7.5" hidden="false" customHeight="true" outlineLevel="0" collapsed="false"/>
    <row r="10" customFormat="false" ht="18" hidden="false" customHeight="true" outlineLevel="0" collapsed="false">
      <c r="A10" s="7" t="s">
        <v>13</v>
      </c>
      <c r="B10" s="8" t="n">
        <f aca="false">B6+B7+B8</f>
        <v>36645.2</v>
      </c>
      <c r="C10" s="9" t="n">
        <f aca="false">IFERROR(B10/B4,0)</f>
        <v>0.149981713340486</v>
      </c>
      <c r="D10" s="10" t="s">
        <v>14</v>
      </c>
    </row>
    <row r="11" customFormat="false" ht="18" hidden="false" customHeight="true" outlineLevel="0" collapsed="false">
      <c r="A11" s="7" t="s">
        <v>15</v>
      </c>
      <c r="B11" s="8" t="n">
        <f aca="false">B4-B10</f>
        <v>207685.92</v>
      </c>
      <c r="C11" s="9" t="n">
        <f aca="false">IFERROR(B11/B4,0)</f>
        <v>0.850018286659514</v>
      </c>
      <c r="D11" s="10" t="s">
        <v>16</v>
      </c>
    </row>
    <row r="13" customFormat="false" ht="19.5" hidden="false" customHeight="true" outlineLevel="0" collapsed="false">
      <c r="A13" s="11" t="s">
        <v>17</v>
      </c>
      <c r="B13" s="11"/>
      <c r="C13" s="11"/>
      <c r="D13" s="11"/>
    </row>
    <row r="14" customFormat="false" ht="21.75" hidden="false" customHeight="true" outlineLevel="0" collapsed="false">
      <c r="A14" s="2" t="s">
        <v>18</v>
      </c>
      <c r="B14" s="2" t="s">
        <v>19</v>
      </c>
      <c r="C14" s="2" t="s">
        <v>20</v>
      </c>
      <c r="D14" s="2" t="s">
        <v>21</v>
      </c>
    </row>
    <row r="15" customFormat="false" ht="15" hidden="false" customHeight="false" outlineLevel="0" collapsed="false">
      <c r="A15" s="12" t="s">
        <v>22</v>
      </c>
      <c r="B15" s="4" t="n">
        <f aca="false">'Marketplace Fees &amp; Commissions'!D5</f>
        <v>130250.05</v>
      </c>
      <c r="C15" s="4" t="n">
        <f aca="false">'Marketplace Fees &amp; Commissions'!C5</f>
        <v>2470.59</v>
      </c>
      <c r="D15" s="5" t="n">
        <f aca="false">IFERROR(C15/B15,0)</f>
        <v>0.0189680541389428</v>
      </c>
    </row>
    <row r="16" customFormat="false" ht="15" hidden="false" customHeight="false" outlineLevel="0" collapsed="false">
      <c r="A16" s="13" t="s">
        <v>23</v>
      </c>
      <c r="B16" s="14" t="n">
        <f aca="false">'Marketplace Fees &amp; Commissions'!D12</f>
        <v>7733.24</v>
      </c>
      <c r="C16" s="14" t="n">
        <f aca="false">'Marketplace Fees &amp; Commissions'!C12</f>
        <v>907.23</v>
      </c>
      <c r="D16" s="15" t="n">
        <f aca="false">IFERROR(C16/B16,0)</f>
        <v>0.117315640016345</v>
      </c>
    </row>
    <row r="17" customFormat="false" ht="15" hidden="false" customHeight="false" outlineLevel="0" collapsed="false">
      <c r="A17" s="12" t="s">
        <v>24</v>
      </c>
      <c r="B17" s="4" t="n">
        <f aca="false">'Marketplace Fees &amp; Commissions'!D17</f>
        <v>24005.83</v>
      </c>
      <c r="C17" s="4" t="n">
        <f aca="false">'Marketplace Fees &amp; Commissions'!C17</f>
        <v>4349.05</v>
      </c>
      <c r="D17" s="5" t="n">
        <f aca="false">IFERROR(C17/B17,0)</f>
        <v>0.181166408326644</v>
      </c>
    </row>
    <row r="18" customFormat="false" ht="15" hidden="false" customHeight="false" outlineLevel="0" collapsed="false">
      <c r="A18" s="13" t="s">
        <v>25</v>
      </c>
      <c r="B18" s="14" t="n">
        <f aca="false">'Marketplace Fees &amp; Commissions'!D19</f>
        <v>82342</v>
      </c>
      <c r="C18" s="14" t="n">
        <f aca="false">'Marketplace Fees &amp; Commissions'!C19</f>
        <v>8011.8</v>
      </c>
      <c r="D18" s="15" t="n">
        <f aca="false">IFERROR(C18/B18,0)</f>
        <v>0.0972990697335503</v>
      </c>
    </row>
    <row r="19" customFormat="false" ht="15" hidden="false" customHeight="false" outlineLevel="0" collapsed="false">
      <c r="A19" s="16" t="s">
        <v>26</v>
      </c>
      <c r="B19" s="8" t="n">
        <f aca="false">SUM(B15:B18)</f>
        <v>244331.12</v>
      </c>
      <c r="C19" s="8" t="n">
        <f aca="false">SUM(C15:C18)</f>
        <v>15738.67</v>
      </c>
      <c r="D19" s="9" t="n">
        <f aca="false">IFERROR(C19/B19,0)</f>
        <v>0.0644153311293298</v>
      </c>
    </row>
    <row r="21" customFormat="false" ht="19.5" hidden="false" customHeight="true" outlineLevel="0" collapsed="false">
      <c r="A21" s="11" t="s">
        <v>27</v>
      </c>
      <c r="B21" s="11"/>
      <c r="C21" s="11"/>
      <c r="D21" s="11"/>
    </row>
    <row r="22" customFormat="false" ht="21.75" hidden="false" customHeight="true" outlineLevel="0" collapsed="false">
      <c r="A22" s="2" t="s">
        <v>28</v>
      </c>
      <c r="B22" s="2" t="s">
        <v>29</v>
      </c>
      <c r="C22" s="2" t="s">
        <v>3</v>
      </c>
      <c r="D22" s="2" t="s">
        <v>30</v>
      </c>
    </row>
    <row r="23" customFormat="false" ht="15" hidden="false" customHeight="false" outlineLevel="0" collapsed="false">
      <c r="A23" s="12" t="s">
        <v>31</v>
      </c>
      <c r="B23" s="4" t="n">
        <f aca="false">'Ad Spend'!C4</f>
        <v>11786.06</v>
      </c>
      <c r="C23" s="5" t="n">
        <f aca="false">IFERROR(B23/B4,0)</f>
        <v>0.0482380631660838</v>
      </c>
      <c r="D23" s="17" t="s">
        <v>32</v>
      </c>
    </row>
    <row r="24" customFormat="false" ht="15" hidden="false" customHeight="false" outlineLevel="0" collapsed="false">
      <c r="A24" s="13" t="s">
        <v>33</v>
      </c>
      <c r="B24" s="14" t="n">
        <v>0</v>
      </c>
      <c r="C24" s="15" t="n">
        <f aca="false">IFERROR(B24/B4,0)</f>
        <v>0</v>
      </c>
      <c r="D24" s="17" t="s">
        <v>32</v>
      </c>
    </row>
    <row r="25" customFormat="false" ht="15" hidden="false" customHeight="false" outlineLevel="0" collapsed="false">
      <c r="A25" s="16" t="s">
        <v>26</v>
      </c>
      <c r="B25" s="8" t="n">
        <f aca="false">SUM(B23:B24)</f>
        <v>11786.06</v>
      </c>
      <c r="C25" s="9" t="n">
        <f aca="false">IFERROR(B25/B4,0)</f>
        <v>0.0482380631660838</v>
      </c>
      <c r="D25" s="18"/>
    </row>
  </sheetData>
  <mergeCells count="3">
    <mergeCell ref="A1:D1"/>
    <mergeCell ref="A13:D13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33.7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</row>
    <row r="2" customFormat="false" ht="3.75" hidden="false" customHeight="true" outlineLevel="0" collapsed="false"/>
    <row r="3" customFormat="false" ht="21.75" hidden="false" customHeight="true" outlineLevel="0" collapsed="false">
      <c r="A3" s="2" t="s">
        <v>18</v>
      </c>
      <c r="B3" s="2" t="s">
        <v>35</v>
      </c>
      <c r="C3" s="2" t="s">
        <v>2</v>
      </c>
      <c r="D3" s="2" t="s">
        <v>36</v>
      </c>
      <c r="E3" s="2" t="s">
        <v>37</v>
      </c>
      <c r="F3" s="2" t="s">
        <v>38</v>
      </c>
      <c r="G3" s="2" t="s">
        <v>39</v>
      </c>
    </row>
    <row r="4" customFormat="false" ht="15" hidden="false" customHeight="false" outlineLevel="0" collapsed="false">
      <c r="A4" s="13" t="s">
        <v>22</v>
      </c>
      <c r="B4" s="19" t="s">
        <v>40</v>
      </c>
      <c r="C4" s="14" t="n">
        <v>2470.59</v>
      </c>
      <c r="D4" s="14" t="n">
        <v>130250.05</v>
      </c>
      <c r="E4" s="15" t="n">
        <f aca="false">IFERROR(C4/D4,0)</f>
        <v>0.0189680541389428</v>
      </c>
      <c r="F4" s="20" t="s">
        <v>41</v>
      </c>
      <c r="G4" s="17" t="s">
        <v>32</v>
      </c>
    </row>
    <row r="5" customFormat="false" ht="15" hidden="false" customHeight="false" outlineLevel="0" collapsed="false">
      <c r="A5" s="16" t="s">
        <v>42</v>
      </c>
      <c r="B5" s="18"/>
      <c r="C5" s="8" t="n">
        <f aca="false">SUM(C4)</f>
        <v>2470.59</v>
      </c>
      <c r="D5" s="8" t="n">
        <f aca="false">D4</f>
        <v>130250.05</v>
      </c>
      <c r="E5" s="9" t="n">
        <f aca="false">IFERROR(C5/D5,0)</f>
        <v>0.0189680541389428</v>
      </c>
      <c r="F5" s="18"/>
      <c r="G5" s="18"/>
    </row>
    <row r="6" customFormat="false" ht="15" hidden="false" customHeight="false" outlineLevel="0" collapsed="false">
      <c r="A6" s="13" t="s">
        <v>23</v>
      </c>
      <c r="B6" s="19" t="s">
        <v>43</v>
      </c>
      <c r="C6" s="14" t="n">
        <v>1011.51</v>
      </c>
      <c r="D6" s="14" t="n">
        <v>7733.24</v>
      </c>
      <c r="E6" s="15" t="n">
        <f aca="false">IFERROR(C6/D6,0)</f>
        <v>0.130800285520687</v>
      </c>
      <c r="F6" s="20" t="s">
        <v>44</v>
      </c>
      <c r="G6" s="17" t="s">
        <v>32</v>
      </c>
    </row>
    <row r="7" customFormat="false" ht="15" hidden="false" customHeight="false" outlineLevel="0" collapsed="false">
      <c r="A7" s="3"/>
      <c r="B7" s="3" t="s">
        <v>45</v>
      </c>
      <c r="C7" s="4" t="n">
        <v>32.48</v>
      </c>
      <c r="D7" s="21"/>
      <c r="E7" s="5" t="n">
        <f aca="false">IFERROR(C7/D6,0)</f>
        <v>0.00420005069026695</v>
      </c>
      <c r="F7" s="6"/>
      <c r="G7" s="22"/>
    </row>
    <row r="8" customFormat="false" ht="15" hidden="false" customHeight="false" outlineLevel="0" collapsed="false">
      <c r="A8" s="19"/>
      <c r="B8" s="19" t="s">
        <v>46</v>
      </c>
      <c r="C8" s="14" t="n">
        <v>2.8</v>
      </c>
      <c r="D8" s="23"/>
      <c r="E8" s="15" t="n">
        <f aca="false">IFERROR(C8/D6,0)</f>
        <v>0.000362073335367841</v>
      </c>
      <c r="F8" s="20"/>
      <c r="G8" s="24"/>
    </row>
    <row r="9" customFormat="false" ht="15" hidden="false" customHeight="false" outlineLevel="0" collapsed="false">
      <c r="A9" s="3"/>
      <c r="B9" s="3" t="s">
        <v>47</v>
      </c>
      <c r="C9" s="4" t="n">
        <v>27</v>
      </c>
      <c r="D9" s="21"/>
      <c r="E9" s="5" t="n">
        <f aca="false">IFERROR(C9/D6,0)</f>
        <v>0.00349142144818989</v>
      </c>
      <c r="F9" s="6"/>
      <c r="G9" s="22"/>
    </row>
    <row r="10" customFormat="false" ht="15" hidden="false" customHeight="false" outlineLevel="0" collapsed="false">
      <c r="A10" s="19"/>
      <c r="B10" s="19" t="s">
        <v>48</v>
      </c>
      <c r="C10" s="14" t="n">
        <v>0.1</v>
      </c>
      <c r="D10" s="23"/>
      <c r="E10" s="15" t="n">
        <f aca="false">IFERROR(C10/D6,0)</f>
        <v>1.29311905488515E-005</v>
      </c>
      <c r="F10" s="20"/>
      <c r="G10" s="24"/>
    </row>
    <row r="11" customFormat="false" ht="15" hidden="false" customHeight="false" outlineLevel="0" collapsed="false">
      <c r="A11" s="3"/>
      <c r="B11" s="3" t="s">
        <v>49</v>
      </c>
      <c r="C11" s="4" t="n">
        <v>-166.66</v>
      </c>
      <c r="D11" s="21"/>
      <c r="E11" s="5" t="n">
        <f aca="false">IFERROR(C11/D6,0)</f>
        <v>-0.0215511221687158</v>
      </c>
      <c r="F11" s="6"/>
      <c r="G11" s="22"/>
    </row>
    <row r="12" customFormat="false" ht="15" hidden="false" customHeight="false" outlineLevel="0" collapsed="false">
      <c r="A12" s="16" t="s">
        <v>50</v>
      </c>
      <c r="B12" s="18"/>
      <c r="C12" s="8" t="n">
        <f aca="false">SUM(C6:C11)</f>
        <v>907.23</v>
      </c>
      <c r="D12" s="8" t="n">
        <f aca="false">D6</f>
        <v>7733.24</v>
      </c>
      <c r="E12" s="9" t="n">
        <f aca="false">IFERROR(C12/D12,0)</f>
        <v>0.117315640016345</v>
      </c>
      <c r="F12" s="18"/>
      <c r="G12" s="18"/>
    </row>
    <row r="13" customFormat="false" ht="15" hidden="false" customHeight="false" outlineLevel="0" collapsed="false">
      <c r="A13" s="12" t="s">
        <v>24</v>
      </c>
      <c r="B13" s="3" t="s">
        <v>51</v>
      </c>
      <c r="C13" s="4" t="n">
        <v>4164.93</v>
      </c>
      <c r="D13" s="4" t="n">
        <v>24005.83</v>
      </c>
      <c r="E13" s="5" t="n">
        <f aca="false">IFERROR(C13/D13,0)</f>
        <v>0.173496604783088</v>
      </c>
      <c r="F13" s="6" t="s">
        <v>52</v>
      </c>
      <c r="G13" s="17" t="s">
        <v>32</v>
      </c>
    </row>
    <row r="14" customFormat="false" ht="15" hidden="false" customHeight="false" outlineLevel="0" collapsed="false">
      <c r="A14" s="19"/>
      <c r="B14" s="19" t="s">
        <v>53</v>
      </c>
      <c r="C14" s="14" t="n">
        <v>104.62</v>
      </c>
      <c r="D14" s="23"/>
      <c r="E14" s="15" t="n">
        <f aca="false">IFERROR(C14/D13,0)</f>
        <v>0.004358108009596</v>
      </c>
      <c r="F14" s="20"/>
      <c r="G14" s="24"/>
    </row>
    <row r="15" customFormat="false" ht="15" hidden="false" customHeight="false" outlineLevel="0" collapsed="false">
      <c r="A15" s="3"/>
      <c r="B15" s="3" t="s">
        <v>54</v>
      </c>
      <c r="C15" s="4" t="n">
        <v>54.5</v>
      </c>
      <c r="D15" s="21"/>
      <c r="E15" s="5" t="n">
        <f aca="false">IFERROR(C15/D13,0)</f>
        <v>0.00227028184403539</v>
      </c>
      <c r="F15" s="6"/>
      <c r="G15" s="22"/>
    </row>
    <row r="16" customFormat="false" ht="15" hidden="false" customHeight="false" outlineLevel="0" collapsed="false">
      <c r="A16" s="19"/>
      <c r="B16" s="19" t="s">
        <v>55</v>
      </c>
      <c r="C16" s="14" t="n">
        <v>25</v>
      </c>
      <c r="D16" s="23"/>
      <c r="E16" s="15" t="n">
        <f aca="false">IFERROR(C16/D13,0)</f>
        <v>0.00104141368992449</v>
      </c>
      <c r="F16" s="20"/>
      <c r="G16" s="24"/>
    </row>
    <row r="17" customFormat="false" ht="15" hidden="false" customHeight="false" outlineLevel="0" collapsed="false">
      <c r="A17" s="16" t="s">
        <v>56</v>
      </c>
      <c r="B17" s="18"/>
      <c r="C17" s="8" t="n">
        <f aca="false">SUM(C13:C16)</f>
        <v>4349.05</v>
      </c>
      <c r="D17" s="8" t="n">
        <f aca="false">D13</f>
        <v>24005.83</v>
      </c>
      <c r="E17" s="9" t="n">
        <f aca="false">IFERROR(C17/D17,0)</f>
        <v>0.181166408326644</v>
      </c>
      <c r="F17" s="18"/>
      <c r="G17" s="18"/>
    </row>
    <row r="18" customFormat="false" ht="15" hidden="false" customHeight="false" outlineLevel="0" collapsed="false">
      <c r="A18" s="13" t="s">
        <v>25</v>
      </c>
      <c r="B18" s="19" t="s">
        <v>51</v>
      </c>
      <c r="C18" s="14" t="n">
        <v>8011.8</v>
      </c>
      <c r="D18" s="14" t="n">
        <v>82342</v>
      </c>
      <c r="E18" s="15" t="n">
        <f aca="false">IFERROR(C18/D18,0)</f>
        <v>0.0972990697335503</v>
      </c>
      <c r="F18" s="20" t="s">
        <v>57</v>
      </c>
      <c r="G18" s="17" t="s">
        <v>32</v>
      </c>
    </row>
    <row r="19" customFormat="false" ht="15" hidden="false" customHeight="false" outlineLevel="0" collapsed="false">
      <c r="A19" s="16" t="s">
        <v>58</v>
      </c>
      <c r="B19" s="18"/>
      <c r="C19" s="8" t="n">
        <f aca="false">SUM(C18)</f>
        <v>8011.8</v>
      </c>
      <c r="D19" s="8" t="n">
        <f aca="false">D18</f>
        <v>82342</v>
      </c>
      <c r="E19" s="9" t="n">
        <f aca="false">IFERROR(C19/D19,0)</f>
        <v>0.0972990697335503</v>
      </c>
      <c r="F19" s="18"/>
      <c r="G19" s="18"/>
    </row>
    <row r="20" customFormat="false" ht="18" hidden="false" customHeight="true" outlineLevel="0" collapsed="false">
      <c r="A20" s="25" t="s">
        <v>59</v>
      </c>
      <c r="B20" s="26"/>
      <c r="C20" s="27" t="n">
        <f aca="false">C5+C12+C17+C19</f>
        <v>15738.67</v>
      </c>
      <c r="D20" s="27" t="n">
        <f aca="false">D5+D12+D17+D19</f>
        <v>244331.12</v>
      </c>
      <c r="E20" s="28" t="n">
        <f aca="false">IFERROR(C20/D20,0)</f>
        <v>0.0644153311293298</v>
      </c>
      <c r="F20" s="26"/>
      <c r="G20" s="26"/>
    </row>
    <row r="22" customFormat="false" ht="57.75" hidden="false" customHeight="true" outlineLevel="0" collapsed="false">
      <c r="A22" s="29" t="s">
        <v>60</v>
      </c>
      <c r="B22" s="29"/>
      <c r="C22" s="29"/>
      <c r="D22" s="29"/>
      <c r="E22" s="29"/>
      <c r="F22" s="29"/>
      <c r="G22" s="29"/>
    </row>
  </sheetData>
  <mergeCells count="2">
    <mergeCell ref="A1:G1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38"/>
  </cols>
  <sheetData>
    <row r="1" customFormat="false" ht="33.75" hidden="false" customHeight="true" outlineLevel="0" collapsed="false">
      <c r="A1" s="30" t="s">
        <v>61</v>
      </c>
      <c r="B1" s="30"/>
      <c r="C1" s="30"/>
      <c r="D1" s="30"/>
      <c r="E1" s="30"/>
    </row>
    <row r="2" customFormat="false" ht="3.75" hidden="false" customHeight="true" outlineLevel="0" collapsed="false"/>
    <row r="3" customFormat="false" ht="19.5" hidden="false" customHeight="true" outlineLevel="0" collapsed="false">
      <c r="A3" s="31" t="s">
        <v>62</v>
      </c>
      <c r="B3" s="31"/>
      <c r="C3" s="31"/>
      <c r="D3" s="31"/>
      <c r="E3" s="31"/>
    </row>
    <row r="4" customFormat="false" ht="21.75" hidden="false" customHeight="true" outlineLevel="0" collapsed="false">
      <c r="A4" s="32" t="s">
        <v>63</v>
      </c>
      <c r="B4" s="32" t="s">
        <v>64</v>
      </c>
      <c r="C4" s="32" t="s">
        <v>65</v>
      </c>
      <c r="D4" s="32" t="s">
        <v>66</v>
      </c>
      <c r="E4" s="32" t="s">
        <v>4</v>
      </c>
    </row>
    <row r="5" customFormat="false" ht="15" hidden="false" customHeight="false" outlineLevel="0" collapsed="false">
      <c r="A5" s="3" t="s">
        <v>67</v>
      </c>
      <c r="B5" s="33" t="n">
        <v>1</v>
      </c>
      <c r="C5" s="33" t="n">
        <v>1</v>
      </c>
      <c r="D5" s="5" t="n">
        <f aca="false">IFERROR(B5/B6,0)</f>
        <v>1</v>
      </c>
      <c r="E5" s="22"/>
    </row>
    <row r="6" customFormat="false" ht="15" hidden="false" customHeight="false" outlineLevel="0" collapsed="false">
      <c r="A6" s="34" t="s">
        <v>68</v>
      </c>
      <c r="B6" s="35" t="n">
        <f aca="false">SUM(B5)</f>
        <v>1</v>
      </c>
      <c r="C6" s="35" t="n">
        <f aca="false">SUM(C5)</f>
        <v>1</v>
      </c>
      <c r="D6" s="36" t="n">
        <f aca="false">IFERROR(B6/B6,0)</f>
        <v>1</v>
      </c>
      <c r="E6" s="37"/>
    </row>
    <row r="7" customFormat="false" ht="15" hidden="false" customHeight="false" outlineLevel="0" collapsed="false">
      <c r="A7" s="38" t="s">
        <v>69</v>
      </c>
      <c r="B7" s="39" t="n">
        <v>0</v>
      </c>
      <c r="C7" s="40"/>
      <c r="D7" s="41" t="n">
        <f aca="false">IFERROR(B7/B6,0)</f>
        <v>0</v>
      </c>
      <c r="E7" s="42" t="s">
        <v>70</v>
      </c>
    </row>
    <row r="8" customFormat="false" ht="15" hidden="false" customHeight="false" outlineLevel="0" collapsed="false">
      <c r="A8" s="38" t="s">
        <v>71</v>
      </c>
      <c r="B8" s="39" t="n">
        <v>1</v>
      </c>
      <c r="C8" s="40"/>
      <c r="D8" s="41" t="n">
        <f aca="false">IFERROR(B8/B6,0)</f>
        <v>1</v>
      </c>
      <c r="E8" s="42" t="s">
        <v>72</v>
      </c>
    </row>
    <row r="10" customFormat="false" ht="19.5" hidden="false" customHeight="true" outlineLevel="0" collapsed="false">
      <c r="A10" s="31" t="s">
        <v>73</v>
      </c>
      <c r="B10" s="31"/>
      <c r="C10" s="31"/>
      <c r="D10" s="31"/>
      <c r="E10" s="31"/>
    </row>
    <row r="11" customFormat="false" ht="21.75" hidden="false" customHeight="true" outlineLevel="0" collapsed="false">
      <c r="A11" s="32" t="s">
        <v>74</v>
      </c>
      <c r="B11" s="32" t="s">
        <v>64</v>
      </c>
      <c r="C11" s="32" t="s">
        <v>75</v>
      </c>
      <c r="D11" s="32"/>
      <c r="E11" s="32" t="s">
        <v>76</v>
      </c>
    </row>
    <row r="12" customFormat="false" ht="15" hidden="false" customHeight="false" outlineLevel="0" collapsed="false">
      <c r="A12" s="43" t="s">
        <v>77</v>
      </c>
      <c r="B12" s="39" t="n">
        <v>1</v>
      </c>
      <c r="C12" s="39" t="n">
        <v>1</v>
      </c>
      <c r="D12" s="40"/>
      <c r="E12" s="42" t="s">
        <v>78</v>
      </c>
    </row>
    <row r="13" customFormat="false" ht="15" hidden="false" customHeight="false" outlineLevel="0" collapsed="false">
      <c r="A13" s="34" t="s">
        <v>79</v>
      </c>
      <c r="B13" s="35" t="n">
        <f aca="false">SUM(B12)</f>
        <v>1</v>
      </c>
      <c r="C13" s="37"/>
      <c r="D13" s="37"/>
      <c r="E13" s="37"/>
    </row>
    <row r="15" customFormat="false" ht="19.5" hidden="false" customHeight="true" outlineLevel="0" collapsed="false">
      <c r="A15" s="31" t="s">
        <v>80</v>
      </c>
      <c r="B15" s="31"/>
      <c r="C15" s="31"/>
      <c r="D15" s="31"/>
      <c r="E15" s="31"/>
    </row>
    <row r="16" customFormat="false" ht="21.75" hidden="false" customHeight="true" outlineLevel="0" collapsed="false">
      <c r="A16" s="32" t="s">
        <v>35</v>
      </c>
      <c r="B16" s="32" t="s">
        <v>2</v>
      </c>
      <c r="C16" s="32"/>
      <c r="D16" s="32"/>
      <c r="E16" s="32" t="s">
        <v>4</v>
      </c>
    </row>
    <row r="17" customFormat="false" ht="15" hidden="false" customHeight="false" outlineLevel="0" collapsed="false">
      <c r="A17" s="3" t="s">
        <v>81</v>
      </c>
      <c r="B17" s="4" t="n">
        <v>36.63</v>
      </c>
      <c r="C17" s="22"/>
      <c r="D17" s="22"/>
      <c r="E17" s="6" t="s">
        <v>82</v>
      </c>
    </row>
    <row r="18" customFormat="false" ht="15" hidden="false" customHeight="false" outlineLevel="0" collapsed="false">
      <c r="A18" s="34" t="s">
        <v>83</v>
      </c>
      <c r="B18" s="44" t="n">
        <f aca="false">SUM(B17)</f>
        <v>36.63</v>
      </c>
      <c r="C18" s="37"/>
      <c r="D18" s="37"/>
      <c r="E18" s="37"/>
    </row>
    <row r="20" customFormat="false" ht="19.5" hidden="false" customHeight="true" outlineLevel="0" collapsed="false">
      <c r="A20" s="31" t="s">
        <v>84</v>
      </c>
      <c r="B20" s="31"/>
      <c r="C20" s="31"/>
      <c r="D20" s="31"/>
      <c r="E20" s="31"/>
    </row>
    <row r="21" customFormat="false" ht="21.75" hidden="false" customHeight="true" outlineLevel="0" collapsed="false">
      <c r="A21" s="32" t="s">
        <v>85</v>
      </c>
      <c r="B21" s="32" t="s">
        <v>64</v>
      </c>
      <c r="C21" s="32"/>
      <c r="D21" s="32"/>
      <c r="E21" s="32" t="s">
        <v>76</v>
      </c>
    </row>
    <row r="22" customFormat="false" ht="15" hidden="false" customHeight="false" outlineLevel="0" collapsed="false">
      <c r="A22" s="45" t="s">
        <v>86</v>
      </c>
      <c r="B22" s="39" t="n">
        <v>202</v>
      </c>
      <c r="C22" s="40"/>
      <c r="D22" s="40"/>
      <c r="E22" s="42" t="s">
        <v>87</v>
      </c>
    </row>
    <row r="23" customFormat="false" ht="15" hidden="false" customHeight="false" outlineLevel="0" collapsed="false">
      <c r="A23" s="12" t="s">
        <v>88</v>
      </c>
      <c r="B23" s="46" t="n">
        <v>0</v>
      </c>
      <c r="C23" s="22"/>
      <c r="D23" s="22"/>
      <c r="E23" s="6" t="s">
        <v>89</v>
      </c>
    </row>
    <row r="24" customFormat="false" ht="15" hidden="false" customHeight="false" outlineLevel="0" collapsed="false">
      <c r="A24" s="43" t="s">
        <v>90</v>
      </c>
      <c r="B24" s="47" t="n">
        <v>0</v>
      </c>
      <c r="C24" s="40"/>
      <c r="D24" s="40"/>
      <c r="E24" s="42" t="s">
        <v>91</v>
      </c>
    </row>
    <row r="25" customFormat="false" ht="15" hidden="false" customHeight="false" outlineLevel="0" collapsed="false">
      <c r="A25" s="3" t="s">
        <v>92</v>
      </c>
      <c r="B25" s="33" t="n">
        <v>0</v>
      </c>
      <c r="C25" s="22"/>
      <c r="D25" s="22"/>
      <c r="E25" s="6" t="s">
        <v>93</v>
      </c>
    </row>
    <row r="26" customFormat="false" ht="15" hidden="false" customHeight="false" outlineLevel="0" collapsed="false">
      <c r="A26" s="45" t="s">
        <v>94</v>
      </c>
      <c r="B26" s="39" t="n">
        <v>264</v>
      </c>
      <c r="C26" s="40"/>
      <c r="D26" s="40"/>
      <c r="E26" s="42" t="s">
        <v>95</v>
      </c>
    </row>
    <row r="27" customFormat="false" ht="15" hidden="false" customHeight="false" outlineLevel="0" collapsed="false">
      <c r="A27" s="3" t="s">
        <v>96</v>
      </c>
      <c r="B27" s="33" t="n">
        <v>11</v>
      </c>
      <c r="C27" s="22"/>
      <c r="D27" s="22"/>
      <c r="E27" s="6" t="s">
        <v>97</v>
      </c>
    </row>
    <row r="28" customFormat="false" ht="15" hidden="false" customHeight="false" outlineLevel="0" collapsed="false">
      <c r="A28" s="34" t="s">
        <v>98</v>
      </c>
      <c r="B28" s="35" t="n">
        <f aca="false">B23+B24</f>
        <v>0</v>
      </c>
      <c r="C28" s="37"/>
      <c r="D28" s="37"/>
      <c r="E28" s="37"/>
    </row>
    <row r="30" customFormat="false" ht="19.5" hidden="false" customHeight="true" outlineLevel="0" collapsed="false">
      <c r="A30" s="48" t="s">
        <v>99</v>
      </c>
      <c r="B30" s="48"/>
      <c r="C30" s="48"/>
      <c r="D30" s="48"/>
      <c r="E30" s="48"/>
    </row>
  </sheetData>
  <mergeCells count="6">
    <mergeCell ref="A1:E1"/>
    <mergeCell ref="A3:E3"/>
    <mergeCell ref="A10:E10"/>
    <mergeCell ref="A15:E15"/>
    <mergeCell ref="A20:E20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8"/>
  </cols>
  <sheetData>
    <row r="1" customFormat="false" ht="33.75" hidden="false" customHeight="true" outlineLevel="0" collapsed="false">
      <c r="A1" s="1" t="s">
        <v>100</v>
      </c>
      <c r="B1" s="1"/>
      <c r="C1" s="1"/>
      <c r="D1" s="1"/>
      <c r="E1" s="1"/>
    </row>
    <row r="2" customFormat="false" ht="3.75" hidden="false" customHeight="true" outlineLevel="0" collapsed="false"/>
    <row r="3" customFormat="false" ht="21.75" hidden="false" customHeight="true" outlineLevel="0" collapsed="false">
      <c r="A3" s="2" t="s">
        <v>18</v>
      </c>
      <c r="B3" s="2" t="s">
        <v>101</v>
      </c>
      <c r="C3" s="2" t="s">
        <v>102</v>
      </c>
      <c r="D3" s="2" t="s">
        <v>103</v>
      </c>
      <c r="E3" s="2" t="s">
        <v>104</v>
      </c>
    </row>
    <row r="4" customFormat="false" ht="15" hidden="false" customHeight="false" outlineLevel="0" collapsed="false">
      <c r="A4" s="13" t="s">
        <v>22</v>
      </c>
      <c r="B4" s="19" t="s">
        <v>105</v>
      </c>
      <c r="C4" s="49" t="n">
        <v>12</v>
      </c>
      <c r="D4" s="14" t="n">
        <v>4859.84</v>
      </c>
      <c r="E4" s="17" t="s">
        <v>32</v>
      </c>
    </row>
    <row r="5" customFormat="false" ht="15" hidden="false" customHeight="false" outlineLevel="0" collapsed="false">
      <c r="A5" s="3"/>
      <c r="B5" s="3" t="s">
        <v>106</v>
      </c>
      <c r="C5" s="33" t="n">
        <v>2</v>
      </c>
      <c r="D5" s="4" t="n">
        <v>706.67</v>
      </c>
      <c r="E5" s="22"/>
    </row>
    <row r="6" customFormat="false" ht="15" hidden="false" customHeight="false" outlineLevel="0" collapsed="false">
      <c r="A6" s="16" t="s">
        <v>42</v>
      </c>
      <c r="B6" s="18"/>
      <c r="C6" s="50" t="n">
        <f aca="false">SUM(C4:C5)</f>
        <v>14</v>
      </c>
      <c r="D6" s="8" t="n">
        <f aca="false">SUM(D4:D5)</f>
        <v>5566.51</v>
      </c>
      <c r="E6" s="18"/>
    </row>
    <row r="7" customFormat="false" ht="15" hidden="false" customHeight="false" outlineLevel="0" collapsed="false">
      <c r="A7" s="12" t="s">
        <v>24</v>
      </c>
      <c r="B7" s="3" t="s">
        <v>107</v>
      </c>
      <c r="C7" s="33" t="n">
        <v>15</v>
      </c>
      <c r="D7" s="4" t="n">
        <v>116.66</v>
      </c>
      <c r="E7" s="17" t="s">
        <v>32</v>
      </c>
    </row>
    <row r="8" customFormat="false" ht="15" hidden="false" customHeight="false" outlineLevel="0" collapsed="false">
      <c r="A8" s="16" t="s">
        <v>56</v>
      </c>
      <c r="B8" s="18"/>
      <c r="C8" s="50" t="n">
        <f aca="false">SUM(C7)</f>
        <v>15</v>
      </c>
      <c r="D8" s="8" t="n">
        <f aca="false">SUM(D7)</f>
        <v>116.66</v>
      </c>
      <c r="E8" s="18"/>
    </row>
    <row r="9" customFormat="false" ht="15" hidden="false" customHeight="false" outlineLevel="0" collapsed="false">
      <c r="A9" s="12" t="s">
        <v>25</v>
      </c>
      <c r="B9" s="3" t="s">
        <v>108</v>
      </c>
      <c r="C9" s="33" t="n">
        <v>4</v>
      </c>
      <c r="D9" s="4" t="n">
        <v>0</v>
      </c>
      <c r="E9" s="17" t="s">
        <v>32</v>
      </c>
    </row>
    <row r="10" customFormat="false" ht="15" hidden="false" customHeight="false" outlineLevel="0" collapsed="false">
      <c r="A10" s="16" t="s">
        <v>58</v>
      </c>
      <c r="B10" s="18"/>
      <c r="C10" s="50" t="n">
        <f aca="false">SUM(C9)</f>
        <v>4</v>
      </c>
      <c r="D10" s="8" t="n">
        <f aca="false">SUM(D9)</f>
        <v>0</v>
      </c>
      <c r="E10" s="18"/>
    </row>
    <row r="11" customFormat="false" ht="18" hidden="false" customHeight="true" outlineLevel="0" collapsed="false">
      <c r="A11" s="25" t="s">
        <v>109</v>
      </c>
      <c r="B11" s="26"/>
      <c r="C11" s="51" t="n">
        <f aca="false">C6+C8+C10</f>
        <v>33</v>
      </c>
      <c r="D11" s="27" t="n">
        <f aca="false">D6+D8+D10</f>
        <v>5683.17</v>
      </c>
      <c r="E11" s="26"/>
    </row>
    <row r="13" customFormat="false" ht="19.5" hidden="false" customHeight="true" outlineLevel="0" collapsed="false">
      <c r="A13" s="48" t="s">
        <v>110</v>
      </c>
      <c r="B13" s="48"/>
      <c r="C13" s="48"/>
      <c r="D13" s="48"/>
      <c r="E13" s="48"/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8"/>
  </cols>
  <sheetData>
    <row r="1" customFormat="false" ht="33.75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.75" hidden="false" customHeight="true" outlineLevel="0" collapsed="false"/>
    <row r="3" customFormat="false" ht="21.75" hidden="false" customHeight="true" outlineLevel="0" collapsed="false">
      <c r="A3" s="2" t="s">
        <v>28</v>
      </c>
      <c r="B3" s="2" t="s">
        <v>112</v>
      </c>
      <c r="C3" s="2" t="s">
        <v>29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39</v>
      </c>
    </row>
    <row r="4" customFormat="false" ht="15" hidden="false" customHeight="false" outlineLevel="0" collapsed="false">
      <c r="A4" s="13" t="s">
        <v>31</v>
      </c>
      <c r="B4" s="19" t="s">
        <v>120</v>
      </c>
      <c r="C4" s="14" t="n">
        <v>11786.06</v>
      </c>
      <c r="D4" s="52" t="n">
        <v>100.52</v>
      </c>
      <c r="E4" s="14" t="n">
        <v>79095.86</v>
      </c>
      <c r="F4" s="14" t="n">
        <f aca="false">IFERROR(C4/D4,0)</f>
        <v>117.25089534421</v>
      </c>
      <c r="G4" s="52" t="n">
        <f aca="false">IFERROR(E4/C4,0)</f>
        <v>6.71096702375518</v>
      </c>
      <c r="H4" s="49" t="n">
        <v>1005339</v>
      </c>
      <c r="I4" s="49" t="n">
        <v>20108</v>
      </c>
      <c r="J4" s="15" t="n">
        <f aca="false">IFERROR(I4/H4,0)</f>
        <v>0.0200012135210113</v>
      </c>
      <c r="K4" s="17" t="s">
        <v>32</v>
      </c>
    </row>
    <row r="6" customFormat="false" ht="18" hidden="false" customHeight="true" outlineLevel="0" collapsed="false">
      <c r="A6" s="25" t="s">
        <v>121</v>
      </c>
      <c r="B6" s="26"/>
      <c r="C6" s="27" t="n">
        <f aca="false">C4</f>
        <v>11786.06</v>
      </c>
      <c r="D6" s="53" t="n">
        <f aca="false">D4</f>
        <v>100.52</v>
      </c>
      <c r="E6" s="27" t="n">
        <f aca="false">E4</f>
        <v>79095.86</v>
      </c>
      <c r="F6" s="27" t="n">
        <f aca="false">IFERROR(C6/D6,0)</f>
        <v>117.25089534421</v>
      </c>
      <c r="G6" s="53" t="n">
        <f aca="false">IFERROR(E6/C6,0)</f>
        <v>6.71096702375518</v>
      </c>
      <c r="H6" s="26"/>
      <c r="I6" s="26"/>
      <c r="J6" s="26"/>
      <c r="K6" s="26"/>
    </row>
    <row r="8" customFormat="false" ht="19.5" hidden="false" customHeight="true" outlineLevel="0" collapsed="false">
      <c r="A8" s="48" t="s">
        <v>122</v>
      </c>
      <c r="B8" s="48"/>
      <c r="C8" s="48"/>
      <c r="D8" s="48"/>
      <c r="E8" s="48"/>
      <c r="F8" s="48"/>
      <c r="G8" s="48"/>
      <c r="H8" s="48"/>
      <c r="I8" s="48"/>
      <c r="J8" s="48"/>
      <c r="K8" s="48"/>
    </row>
  </sheetData>
  <mergeCells count="2">
    <mergeCell ref="A1:K1"/>
    <mergeCell ref="A8:K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6" min="5" style="0" width="22"/>
  </cols>
  <sheetData>
    <row r="1" customFormat="false" ht="33.75" hidden="false" customHeight="true" outlineLevel="0" collapsed="false">
      <c r="A1" s="1" t="s">
        <v>123</v>
      </c>
      <c r="B1" s="1"/>
      <c r="C1" s="1"/>
      <c r="D1" s="1"/>
      <c r="E1" s="1"/>
      <c r="F1" s="1"/>
    </row>
    <row r="2" customFormat="false" ht="3.75" hidden="false" customHeight="true" outlineLevel="0" collapsed="false"/>
    <row r="3" customFormat="false" ht="19.5" hidden="false" customHeight="true" outlineLevel="0" collapsed="false">
      <c r="A3" s="11" t="s">
        <v>124</v>
      </c>
      <c r="B3" s="11"/>
      <c r="C3" s="11"/>
      <c r="D3" s="11"/>
      <c r="E3" s="11"/>
      <c r="F3" s="11"/>
    </row>
    <row r="4" customFormat="false" ht="21.75" hidden="false" customHeight="true" outlineLevel="0" collapsed="false">
      <c r="A4" s="54" t="s">
        <v>125</v>
      </c>
      <c r="B4" s="54" t="s">
        <v>126</v>
      </c>
      <c r="C4" s="54" t="s">
        <v>127</v>
      </c>
      <c r="D4" s="54" t="s">
        <v>2</v>
      </c>
      <c r="E4" s="54" t="s">
        <v>128</v>
      </c>
      <c r="F4" s="54" t="s">
        <v>129</v>
      </c>
    </row>
    <row r="5" customFormat="false" ht="15" hidden="false" customHeight="false" outlineLevel="0" collapsed="false">
      <c r="A5" s="3" t="s">
        <v>130</v>
      </c>
      <c r="B5" s="3" t="s">
        <v>131</v>
      </c>
      <c r="C5" s="3" t="s">
        <v>132</v>
      </c>
      <c r="D5" s="4" t="n">
        <v>1643.01</v>
      </c>
      <c r="E5" s="3" t="s">
        <v>130</v>
      </c>
      <c r="F5" s="3" t="s">
        <v>44</v>
      </c>
    </row>
    <row r="6" customFormat="false" ht="15" hidden="false" customHeight="false" outlineLevel="0" collapsed="false">
      <c r="A6" s="19" t="s">
        <v>133</v>
      </c>
      <c r="B6" s="19" t="s">
        <v>134</v>
      </c>
      <c r="C6" s="19" t="s">
        <v>132</v>
      </c>
      <c r="D6" s="14" t="n">
        <v>1210.51</v>
      </c>
      <c r="E6" s="19" t="s">
        <v>133</v>
      </c>
      <c r="F6" s="19" t="s">
        <v>44</v>
      </c>
    </row>
    <row r="7" customFormat="false" ht="15" hidden="false" customHeight="false" outlineLevel="0" collapsed="false">
      <c r="A7" s="3" t="s">
        <v>135</v>
      </c>
      <c r="B7" s="3" t="s">
        <v>136</v>
      </c>
      <c r="C7" s="3" t="s">
        <v>132</v>
      </c>
      <c r="D7" s="4" t="n">
        <v>1210.51</v>
      </c>
      <c r="E7" s="3" t="s">
        <v>135</v>
      </c>
      <c r="F7" s="3" t="s">
        <v>44</v>
      </c>
    </row>
    <row r="8" customFormat="false" ht="15" hidden="false" customHeight="false" outlineLevel="0" collapsed="false">
      <c r="A8" s="19" t="s">
        <v>137</v>
      </c>
      <c r="B8" s="19" t="s">
        <v>138</v>
      </c>
      <c r="C8" s="19" t="s">
        <v>132</v>
      </c>
      <c r="D8" s="14" t="n">
        <v>328.18</v>
      </c>
      <c r="E8" s="19" t="s">
        <v>137</v>
      </c>
      <c r="F8" s="19" t="s">
        <v>44</v>
      </c>
    </row>
    <row r="9" customFormat="false" ht="15" hidden="false" customHeight="false" outlineLevel="0" collapsed="false">
      <c r="A9" s="3" t="s">
        <v>139</v>
      </c>
      <c r="B9" s="3" t="s">
        <v>138</v>
      </c>
      <c r="C9" s="3" t="s">
        <v>132</v>
      </c>
      <c r="D9" s="4" t="n">
        <v>1210.51</v>
      </c>
      <c r="E9" s="3" t="s">
        <v>139</v>
      </c>
      <c r="F9" s="3" t="s">
        <v>44</v>
      </c>
    </row>
    <row r="10" customFormat="false" ht="15" hidden="false" customHeight="false" outlineLevel="0" collapsed="false">
      <c r="A10" s="19" t="s">
        <v>140</v>
      </c>
      <c r="B10" s="19" t="s">
        <v>141</v>
      </c>
      <c r="C10" s="19" t="s">
        <v>132</v>
      </c>
      <c r="D10" s="14" t="n">
        <v>1210.51</v>
      </c>
      <c r="E10" s="19" t="s">
        <v>140</v>
      </c>
      <c r="F10" s="19" t="s">
        <v>44</v>
      </c>
    </row>
    <row r="11" customFormat="false" ht="15" hidden="false" customHeight="false" outlineLevel="0" collapsed="false">
      <c r="A11" s="3" t="s">
        <v>142</v>
      </c>
      <c r="B11" s="3" t="s">
        <v>141</v>
      </c>
      <c r="C11" s="3" t="s">
        <v>132</v>
      </c>
      <c r="D11" s="4" t="n">
        <v>1210.51</v>
      </c>
      <c r="E11" s="3" t="s">
        <v>142</v>
      </c>
      <c r="F11" s="3" t="s">
        <v>44</v>
      </c>
    </row>
    <row r="12" customFormat="false" ht="15" hidden="false" customHeight="false" outlineLevel="0" collapsed="false">
      <c r="A12" s="19" t="s">
        <v>143</v>
      </c>
      <c r="B12" s="19" t="s">
        <v>144</v>
      </c>
      <c r="C12" s="19" t="s">
        <v>145</v>
      </c>
      <c r="D12" s="14" t="n">
        <v>0.12</v>
      </c>
      <c r="E12" s="19" t="s">
        <v>146</v>
      </c>
      <c r="F12" s="19" t="s">
        <v>44</v>
      </c>
    </row>
    <row r="13" customFormat="false" ht="15" hidden="false" customHeight="false" outlineLevel="0" collapsed="false">
      <c r="A13" s="3" t="s">
        <v>147</v>
      </c>
      <c r="B13" s="3" t="s">
        <v>148</v>
      </c>
      <c r="C13" s="3" t="s">
        <v>149</v>
      </c>
      <c r="D13" s="4" t="n">
        <v>199.99</v>
      </c>
      <c r="E13" s="3" t="s">
        <v>150</v>
      </c>
      <c r="F13" s="3" t="s">
        <v>44</v>
      </c>
    </row>
    <row r="14" customFormat="false" ht="15" hidden="false" customHeight="false" outlineLevel="0" collapsed="false">
      <c r="A14" s="19" t="s">
        <v>151</v>
      </c>
      <c r="B14" s="19" t="s">
        <v>152</v>
      </c>
      <c r="C14" s="19" t="s">
        <v>153</v>
      </c>
      <c r="D14" s="14" t="n">
        <v>1.8</v>
      </c>
      <c r="E14" s="19" t="s">
        <v>146</v>
      </c>
      <c r="F14" s="19" t="s">
        <v>44</v>
      </c>
    </row>
    <row r="15" customFormat="false" ht="15" hidden="false" customHeight="false" outlineLevel="0" collapsed="false">
      <c r="A15" s="3" t="s">
        <v>154</v>
      </c>
      <c r="B15" s="3" t="s">
        <v>155</v>
      </c>
      <c r="C15" s="3" t="s">
        <v>145</v>
      </c>
      <c r="D15" s="4" t="n">
        <v>32.4</v>
      </c>
      <c r="E15" s="3" t="s">
        <v>146</v>
      </c>
      <c r="F15" s="3" t="s">
        <v>44</v>
      </c>
    </row>
    <row r="17" customFormat="false" ht="19.5" hidden="false" customHeight="true" outlineLevel="0" collapsed="false">
      <c r="A17" s="55" t="s">
        <v>156</v>
      </c>
      <c r="B17" s="55"/>
      <c r="C17" s="55"/>
      <c r="D17" s="55"/>
      <c r="E17" s="55"/>
      <c r="F17" s="55"/>
    </row>
    <row r="18" customFormat="false" ht="21.75" hidden="false" customHeight="true" outlineLevel="0" collapsed="false">
      <c r="A18" s="32" t="s">
        <v>157</v>
      </c>
      <c r="B18" s="32" t="s">
        <v>158</v>
      </c>
      <c r="C18" s="32" t="s">
        <v>35</v>
      </c>
      <c r="D18" s="32" t="s">
        <v>2</v>
      </c>
      <c r="E18" s="32" t="s">
        <v>128</v>
      </c>
      <c r="F18" s="32" t="s">
        <v>129</v>
      </c>
    </row>
    <row r="19" customFormat="false" ht="15" hidden="false" customHeight="false" outlineLevel="0" collapsed="false">
      <c r="A19" s="3"/>
      <c r="B19" s="3" t="s">
        <v>159</v>
      </c>
      <c r="C19" s="3" t="s">
        <v>51</v>
      </c>
      <c r="D19" s="4" t="n">
        <v>-35.99</v>
      </c>
      <c r="E19" s="3" t="s">
        <v>160</v>
      </c>
      <c r="F19" s="3" t="s">
        <v>161</v>
      </c>
    </row>
    <row r="20" customFormat="false" ht="15" hidden="false" customHeight="false" outlineLevel="0" collapsed="false">
      <c r="A20" s="45"/>
      <c r="B20" s="45" t="s">
        <v>159</v>
      </c>
      <c r="C20" s="45" t="s">
        <v>53</v>
      </c>
      <c r="D20" s="56" t="n">
        <v>-0.72</v>
      </c>
      <c r="E20" s="45" t="s">
        <v>160</v>
      </c>
      <c r="F20" s="45" t="s">
        <v>161</v>
      </c>
    </row>
    <row r="21" customFormat="false" ht="15" hidden="false" customHeight="false" outlineLevel="0" collapsed="false">
      <c r="A21" s="3"/>
      <c r="B21" s="3" t="s">
        <v>162</v>
      </c>
      <c r="C21" s="3" t="s">
        <v>163</v>
      </c>
      <c r="D21" s="4" t="n">
        <v>-15.99</v>
      </c>
      <c r="E21" s="3" t="s">
        <v>164</v>
      </c>
      <c r="F21" s="3" t="s">
        <v>161</v>
      </c>
    </row>
    <row r="22" customFormat="false" ht="15" hidden="false" customHeight="false" outlineLevel="0" collapsed="false">
      <c r="A22" s="45"/>
      <c r="B22" s="45" t="s">
        <v>162</v>
      </c>
      <c r="C22" s="45" t="s">
        <v>51</v>
      </c>
      <c r="D22" s="56" t="n">
        <v>-36</v>
      </c>
      <c r="E22" s="45" t="s">
        <v>164</v>
      </c>
      <c r="F22" s="45" t="s">
        <v>161</v>
      </c>
    </row>
    <row r="23" customFormat="false" ht="15" hidden="false" customHeight="false" outlineLevel="0" collapsed="false">
      <c r="A23" s="3"/>
      <c r="B23" s="3" t="s">
        <v>162</v>
      </c>
      <c r="C23" s="3" t="s">
        <v>53</v>
      </c>
      <c r="D23" s="4" t="n">
        <v>-1.05</v>
      </c>
      <c r="E23" s="3" t="s">
        <v>164</v>
      </c>
      <c r="F23" s="3" t="s">
        <v>161</v>
      </c>
    </row>
    <row r="24" customFormat="false" ht="15" hidden="false" customHeight="false" outlineLevel="0" collapsed="false">
      <c r="A24" s="45"/>
      <c r="B24" s="45" t="s">
        <v>165</v>
      </c>
      <c r="C24" s="45" t="s">
        <v>51</v>
      </c>
      <c r="D24" s="56" t="n">
        <v>-37.46</v>
      </c>
      <c r="E24" s="45" t="s">
        <v>166</v>
      </c>
      <c r="F24" s="45" t="s">
        <v>161</v>
      </c>
    </row>
    <row r="25" customFormat="false" ht="15" hidden="false" customHeight="false" outlineLevel="0" collapsed="false">
      <c r="A25" s="3"/>
      <c r="B25" s="3" t="s">
        <v>165</v>
      </c>
      <c r="C25" s="3" t="s">
        <v>53</v>
      </c>
      <c r="D25" s="4" t="n">
        <v>-0.75</v>
      </c>
      <c r="E25" s="3" t="s">
        <v>166</v>
      </c>
      <c r="F25" s="3" t="s">
        <v>161</v>
      </c>
    </row>
    <row r="26" customFormat="false" ht="15" hidden="false" customHeight="false" outlineLevel="0" collapsed="false">
      <c r="A26" s="45"/>
      <c r="B26" s="45" t="s">
        <v>167</v>
      </c>
      <c r="C26" s="45" t="s">
        <v>163</v>
      </c>
      <c r="D26" s="56" t="n">
        <v>-21</v>
      </c>
      <c r="E26" s="45" t="s">
        <v>168</v>
      </c>
      <c r="F26" s="45" t="s">
        <v>161</v>
      </c>
    </row>
    <row r="27" customFormat="false" ht="15" hidden="false" customHeight="false" outlineLevel="0" collapsed="false">
      <c r="A27" s="3"/>
      <c r="B27" s="3" t="s">
        <v>167</v>
      </c>
      <c r="C27" s="3" t="s">
        <v>51</v>
      </c>
      <c r="D27" s="4" t="n">
        <v>-36</v>
      </c>
      <c r="E27" s="3" t="s">
        <v>168</v>
      </c>
      <c r="F27" s="3" t="s">
        <v>161</v>
      </c>
    </row>
    <row r="28" customFormat="false" ht="15" hidden="false" customHeight="false" outlineLevel="0" collapsed="false">
      <c r="A28" s="45"/>
      <c r="B28" s="45" t="s">
        <v>167</v>
      </c>
      <c r="C28" s="45" t="s">
        <v>53</v>
      </c>
      <c r="D28" s="56" t="n">
        <v>-1.14</v>
      </c>
      <c r="E28" s="45" t="s">
        <v>168</v>
      </c>
      <c r="F28" s="45" t="s">
        <v>161</v>
      </c>
    </row>
    <row r="29" customFormat="false" ht="15" hidden="false" customHeight="false" outlineLevel="0" collapsed="false">
      <c r="A29" s="3"/>
      <c r="B29" s="3" t="s">
        <v>169</v>
      </c>
      <c r="C29" s="3" t="s">
        <v>163</v>
      </c>
      <c r="D29" s="4" t="n">
        <v>-21</v>
      </c>
      <c r="E29" s="3" t="s">
        <v>170</v>
      </c>
      <c r="F29" s="3" t="s">
        <v>161</v>
      </c>
    </row>
    <row r="30" customFormat="false" ht="15" hidden="false" customHeight="false" outlineLevel="0" collapsed="false">
      <c r="A30" s="45"/>
      <c r="B30" s="45" t="s">
        <v>169</v>
      </c>
      <c r="C30" s="45" t="s">
        <v>51</v>
      </c>
      <c r="D30" s="56" t="n">
        <v>-36</v>
      </c>
      <c r="E30" s="45" t="s">
        <v>170</v>
      </c>
      <c r="F30" s="45" t="s">
        <v>161</v>
      </c>
    </row>
    <row r="31" customFormat="false" ht="15" hidden="false" customHeight="false" outlineLevel="0" collapsed="false">
      <c r="A31" s="3"/>
      <c r="B31" s="3" t="s">
        <v>169</v>
      </c>
      <c r="C31" s="3" t="s">
        <v>53</v>
      </c>
      <c r="D31" s="4" t="n">
        <v>-1.14</v>
      </c>
      <c r="E31" s="3" t="s">
        <v>170</v>
      </c>
      <c r="F31" s="3" t="s">
        <v>161</v>
      </c>
    </row>
    <row r="32" customFormat="false" ht="15" hidden="false" customHeight="false" outlineLevel="0" collapsed="false">
      <c r="A32" s="45"/>
      <c r="B32" s="45" t="s">
        <v>171</v>
      </c>
      <c r="C32" s="45" t="s">
        <v>51</v>
      </c>
      <c r="D32" s="56" t="n">
        <v>-18</v>
      </c>
      <c r="E32" s="45" t="s">
        <v>172</v>
      </c>
      <c r="F32" s="45" t="s">
        <v>161</v>
      </c>
    </row>
    <row r="33" customFormat="false" ht="15" hidden="false" customHeight="false" outlineLevel="0" collapsed="false">
      <c r="A33" s="3"/>
      <c r="B33" s="3" t="s">
        <v>171</v>
      </c>
      <c r="C33" s="3" t="s">
        <v>53</v>
      </c>
      <c r="D33" s="4" t="n">
        <v>-0.36</v>
      </c>
      <c r="E33" s="3" t="s">
        <v>172</v>
      </c>
      <c r="F33" s="3" t="s">
        <v>161</v>
      </c>
    </row>
    <row r="34" customFormat="false" ht="15" hidden="false" customHeight="false" outlineLevel="0" collapsed="false">
      <c r="A34" s="45"/>
      <c r="B34" s="45" t="s">
        <v>173</v>
      </c>
      <c r="C34" s="45" t="s">
        <v>163</v>
      </c>
      <c r="D34" s="56" t="n">
        <v>-21</v>
      </c>
      <c r="E34" s="45" t="s">
        <v>174</v>
      </c>
      <c r="F34" s="45" t="s">
        <v>161</v>
      </c>
    </row>
    <row r="35" customFormat="false" ht="15" hidden="false" customHeight="false" outlineLevel="0" collapsed="false">
      <c r="A35" s="3"/>
      <c r="B35" s="3" t="s">
        <v>173</v>
      </c>
      <c r="C35" s="3" t="s">
        <v>51</v>
      </c>
      <c r="D35" s="4" t="n">
        <v>-36</v>
      </c>
      <c r="E35" s="3" t="s">
        <v>174</v>
      </c>
      <c r="F35" s="3" t="s">
        <v>161</v>
      </c>
    </row>
    <row r="36" customFormat="false" ht="15" hidden="false" customHeight="false" outlineLevel="0" collapsed="false">
      <c r="A36" s="45"/>
      <c r="B36" s="45" t="s">
        <v>173</v>
      </c>
      <c r="C36" s="45" t="s">
        <v>53</v>
      </c>
      <c r="D36" s="56" t="n">
        <v>-1.14</v>
      </c>
      <c r="E36" s="45" t="s">
        <v>174</v>
      </c>
      <c r="F36" s="45" t="s">
        <v>161</v>
      </c>
    </row>
    <row r="37" customFormat="false" ht="15" hidden="false" customHeight="false" outlineLevel="0" collapsed="false">
      <c r="A37" s="3"/>
      <c r="B37" s="3" t="s">
        <v>175</v>
      </c>
      <c r="C37" s="3" t="s">
        <v>163</v>
      </c>
      <c r="D37" s="4" t="n">
        <v>-21</v>
      </c>
      <c r="E37" s="3" t="s">
        <v>176</v>
      </c>
      <c r="F37" s="3" t="s">
        <v>161</v>
      </c>
    </row>
    <row r="38" customFormat="false" ht="15" hidden="false" customHeight="false" outlineLevel="0" collapsed="false">
      <c r="A38" s="45"/>
      <c r="B38" s="45" t="s">
        <v>175</v>
      </c>
      <c r="C38" s="45" t="s">
        <v>51</v>
      </c>
      <c r="D38" s="56" t="n">
        <v>-36</v>
      </c>
      <c r="E38" s="45" t="s">
        <v>176</v>
      </c>
      <c r="F38" s="45" t="s">
        <v>161</v>
      </c>
    </row>
    <row r="40" customFormat="false" ht="19.5" hidden="false" customHeight="true" outlineLevel="0" collapsed="false">
      <c r="A40" s="11" t="s">
        <v>177</v>
      </c>
      <c r="B40" s="11"/>
      <c r="C40" s="11"/>
      <c r="D40" s="11"/>
      <c r="E40" s="11"/>
      <c r="F40" s="11"/>
    </row>
    <row r="41" customFormat="false" ht="21.75" hidden="false" customHeight="true" outlineLevel="0" collapsed="false">
      <c r="A41" s="54" t="s">
        <v>178</v>
      </c>
      <c r="B41" s="54" t="s">
        <v>127</v>
      </c>
      <c r="C41" s="54" t="s">
        <v>179</v>
      </c>
      <c r="D41" s="54" t="s">
        <v>29</v>
      </c>
      <c r="E41" s="54" t="s">
        <v>117</v>
      </c>
      <c r="F41" s="54" t="s">
        <v>118</v>
      </c>
    </row>
    <row r="42" customFormat="false" ht="15" hidden="false" customHeight="false" outlineLevel="0" collapsed="false">
      <c r="A42" s="19" t="s">
        <v>180</v>
      </c>
      <c r="B42" s="19" t="s">
        <v>181</v>
      </c>
      <c r="C42" s="19" t="s">
        <v>120</v>
      </c>
      <c r="D42" s="14" t="n">
        <v>11786.062414</v>
      </c>
      <c r="E42" s="19" t="n">
        <v>1005339</v>
      </c>
      <c r="F42" s="19" t="n">
        <v>20108</v>
      </c>
    </row>
  </sheetData>
  <mergeCells count="4">
    <mergeCell ref="A1:F1"/>
    <mergeCell ref="A3:F3"/>
    <mergeCell ref="A17:F17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2026-06-04T13:14:18Z</dcterms:created>
  <dc:creator>openpyxl</dc:creator>
  <dc:description/>
  <dc:language>en-GB</dc:language>
  <cp:lastModifiedBy/>
  <dcterms:modified xsi:type="dcterms:W3CDTF">2026-06-04T14:23:23Z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