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Summary" sheetId="1" state="visible" r:id="rId1"/>
    <sheet xmlns:r="http://schemas.openxmlformats.org/officeDocument/2006/relationships" name="Marketplace Fees &amp; Commissions" sheetId="2" state="visible" r:id="rId2"/>
    <sheet xmlns:r="http://schemas.openxmlformats.org/officeDocument/2006/relationships" name="FBA Returns &amp; Removals" sheetId="3" state="visible" r:id="rId3"/>
    <sheet xmlns:r="http://schemas.openxmlformats.org/officeDocument/2006/relationships" name="Cancellations" sheetId="4" state="visible" r:id="rId4"/>
    <sheet xmlns:r="http://schemas.openxmlformats.org/officeDocument/2006/relationships" name="Ad Spend" sheetId="5" state="visible" r:id="rId5"/>
    <sheet xmlns:r="http://schemas.openxmlformats.org/officeDocument/2006/relationships" name="Raw Data" sheetId="6" state="visible" r:id="rId6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£#,##0.00"/>
    <numFmt numFmtId="165" formatCode="0.0%"/>
  </numFmts>
  <fonts count="13">
    <font>
      <name val="Calibri"/>
      <family val="2"/>
      <color theme="1"/>
      <sz val="11"/>
      <scheme val="minor"/>
    </font>
    <font>
      <b val="1"/>
      <color rgb="00FFFFFF"/>
      <sz val="13"/>
    </font>
    <font>
      <b val="1"/>
      <color rgb="00FFFFFF"/>
      <sz val="10"/>
    </font>
    <font>
      <b val="1"/>
      <color rgb="00212121"/>
      <sz val="10"/>
    </font>
    <font>
      <color rgb="00212121"/>
      <sz val="10"/>
    </font>
    <font>
      <i val="1"/>
      <color rgb="00757575"/>
      <sz val="10"/>
    </font>
    <font>
      <b val="1"/>
      <color rgb="002E7D32"/>
      <sz val="10"/>
    </font>
    <font>
      <i val="1"/>
      <color rgb="00E65100"/>
      <sz val="9"/>
    </font>
    <font>
      <b val="1"/>
      <color rgb="000D47A1"/>
      <sz val="10"/>
    </font>
    <font>
      <i val="1"/>
      <color rgb="00212121"/>
      <sz val="10"/>
    </font>
    <font>
      <i val="1"/>
      <color rgb="000D47A1"/>
      <sz val="9"/>
    </font>
    <font>
      <color rgb="00757575"/>
      <sz val="10"/>
    </font>
    <font>
      <b val="1"/>
      <color rgb="00BF360C"/>
      <sz val="10"/>
    </font>
  </fonts>
  <fills count="13">
    <fill>
      <patternFill/>
    </fill>
    <fill>
      <patternFill patternType="gray125"/>
    </fill>
    <fill>
      <patternFill patternType="solid">
        <fgColor rgb="001B5E20"/>
      </patternFill>
    </fill>
    <fill>
      <patternFill patternType="solid">
        <fgColor rgb="00E8F5E9"/>
      </patternFill>
    </fill>
    <fill>
      <patternFill patternType="solid">
        <fgColor rgb="00C8E6C9"/>
      </patternFill>
    </fill>
    <fill>
      <patternFill patternType="solid">
        <fgColor rgb="00FFFFFF"/>
      </patternFill>
    </fill>
    <fill>
      <patternFill patternType="solid">
        <fgColor rgb="00FFF8E1"/>
      </patternFill>
    </fill>
    <fill>
      <patternFill patternType="solid">
        <fgColor rgb="000D47A1"/>
      </patternFill>
    </fill>
    <fill>
      <patternFill patternType="solid">
        <fgColor rgb="001565C0"/>
      </patternFill>
    </fill>
    <fill>
      <patternFill patternType="solid">
        <fgColor rgb="00BBDEFB"/>
      </patternFill>
    </fill>
    <fill>
      <patternFill patternType="solid">
        <fgColor rgb="00E3F2FD"/>
      </patternFill>
    </fill>
    <fill>
      <patternFill patternType="solid">
        <fgColor rgb="00FFF3E0"/>
      </patternFill>
    </fill>
    <fill>
      <patternFill patternType="solid">
        <fgColor rgb="002E7D32"/>
      </patternFill>
    </fill>
  </fills>
  <borders count="2">
    <border>
      <left/>
      <right/>
      <top/>
      <bottom/>
      <diagonal/>
    </border>
    <border>
      <bottom style="thin">
        <color rgb="00E0E0E0"/>
      </bottom>
    </border>
  </borders>
  <cellStyleXfs count="1">
    <xf numFmtId="0" fontId="0" fillId="0" borderId="0"/>
  </cellStyleXfs>
  <cellXfs count="59">
    <xf numFmtId="0" fontId="0" fillId="0" borderId="0" pivotButton="0" quotePrefix="0" xfId="0"/>
    <xf numFmtId="0" fontId="1" fillId="2" borderId="0" applyAlignment="1" pivotButton="0" quotePrefix="0" xfId="0">
      <alignment horizontal="left" vertical="center" indent="1"/>
    </xf>
    <xf numFmtId="0" fontId="2" fillId="2" borderId="0" applyAlignment="1" pivotButton="0" quotePrefix="0" xfId="0">
      <alignment horizontal="center" vertical="center" wrapText="1"/>
    </xf>
    <xf numFmtId="0" fontId="4" fillId="5" borderId="1" applyAlignment="1" pivotButton="0" quotePrefix="0" xfId="0">
      <alignment horizontal="left" vertical="center"/>
    </xf>
    <xf numFmtId="164" fontId="4" fillId="5" borderId="1" applyAlignment="1" pivotButton="0" quotePrefix="0" xfId="0">
      <alignment horizontal="right" vertical="center"/>
    </xf>
    <xf numFmtId="165" fontId="4" fillId="5" borderId="1" applyAlignment="1" pivotButton="0" quotePrefix="0" xfId="0">
      <alignment horizontal="right" vertical="center"/>
    </xf>
    <xf numFmtId="0" fontId="5" fillId="5" borderId="1" applyAlignment="1" pivotButton="0" quotePrefix="0" xfId="0">
      <alignment horizontal="left" vertical="center"/>
    </xf>
    <xf numFmtId="0" fontId="3" fillId="4" borderId="1" applyAlignment="1" pivotButton="0" quotePrefix="0" xfId="0">
      <alignment horizontal="left" vertical="center"/>
    </xf>
    <xf numFmtId="164" fontId="3" fillId="4" borderId="1" applyAlignment="1" pivotButton="0" quotePrefix="0" xfId="0">
      <alignment horizontal="right" vertical="center"/>
    </xf>
    <xf numFmtId="165" fontId="3" fillId="4" borderId="1" applyAlignment="1" pivotButton="0" quotePrefix="0" xfId="0">
      <alignment horizontal="right" vertical="center"/>
    </xf>
    <xf numFmtId="0" fontId="5" fillId="4" borderId="1" applyAlignment="1" pivotButton="0" quotePrefix="0" xfId="0">
      <alignment horizontal="left" vertical="center"/>
    </xf>
    <xf numFmtId="0" fontId="2" fillId="12" borderId="0" applyAlignment="1" pivotButton="0" quotePrefix="0" xfId="0">
      <alignment horizontal="left" vertical="center" indent="1"/>
    </xf>
    <xf numFmtId="0" fontId="3" fillId="5" borderId="1" applyAlignment="1" pivotButton="0" quotePrefix="0" xfId="0">
      <alignment horizontal="left" vertical="center"/>
    </xf>
    <xf numFmtId="0" fontId="3" fillId="3" borderId="1" applyAlignment="1" pivotButton="0" quotePrefix="0" xfId="0">
      <alignment horizontal="left" vertical="center"/>
    </xf>
    <xf numFmtId="164" fontId="4" fillId="3" borderId="1" applyAlignment="1" pivotButton="0" quotePrefix="0" xfId="0">
      <alignment horizontal="right" vertical="center"/>
    </xf>
    <xf numFmtId="165" fontId="4" fillId="3" borderId="1" applyAlignment="1" pivotButton="0" quotePrefix="0" xfId="0">
      <alignment horizontal="right" vertical="center"/>
    </xf>
    <xf numFmtId="0" fontId="3" fillId="4" borderId="1" applyAlignment="1" pivotButton="0" quotePrefix="0" xfId="0">
      <alignment horizontal="right" vertical="center"/>
    </xf>
    <xf numFmtId="0" fontId="6" fillId="3" borderId="1" applyAlignment="1" pivotButton="0" quotePrefix="0" xfId="0">
      <alignment horizontal="center" vertical="center"/>
    </xf>
    <xf numFmtId="0" fontId="0" fillId="4" borderId="0" pivotButton="0" quotePrefix="0" xfId="0"/>
    <xf numFmtId="0" fontId="4" fillId="3" borderId="1" applyAlignment="1" pivotButton="0" quotePrefix="0" xfId="0">
      <alignment horizontal="left" vertical="center"/>
    </xf>
    <xf numFmtId="0" fontId="5" fillId="3" borderId="1" applyAlignment="1" pivotButton="0" quotePrefix="0" xfId="0">
      <alignment horizontal="left" vertical="center"/>
    </xf>
    <xf numFmtId="49" fontId="4" fillId="5" borderId="1" applyAlignment="1" pivotButton="0" quotePrefix="0" xfId="0">
      <alignment horizontal="right" vertical="center"/>
    </xf>
    <xf numFmtId="0" fontId="4" fillId="5" borderId="1" applyAlignment="1" pivotButton="0" quotePrefix="0" xfId="0">
      <alignment horizontal="right" vertical="center"/>
    </xf>
    <xf numFmtId="49" fontId="4" fillId="3" borderId="1" applyAlignment="1" pivotButton="0" quotePrefix="0" xfId="0">
      <alignment horizontal="right" vertical="center"/>
    </xf>
    <xf numFmtId="0" fontId="4" fillId="3" borderId="1" applyAlignment="1" pivotButton="0" quotePrefix="0" xfId="0">
      <alignment horizontal="right" vertical="center"/>
    </xf>
    <xf numFmtId="0" fontId="2" fillId="2" borderId="1" applyAlignment="1" pivotButton="0" quotePrefix="0" xfId="0">
      <alignment horizontal="left" vertical="center"/>
    </xf>
    <xf numFmtId="0" fontId="2" fillId="2" borderId="0" pivotButton="0" quotePrefix="0" xfId="0"/>
    <xf numFmtId="164" fontId="2" fillId="2" borderId="1" applyAlignment="1" pivotButton="0" quotePrefix="0" xfId="0">
      <alignment horizontal="right" vertical="center"/>
    </xf>
    <xf numFmtId="165" fontId="2" fillId="2" borderId="1" applyAlignment="1" pivotButton="0" quotePrefix="0" xfId="0">
      <alignment horizontal="right" vertical="center"/>
    </xf>
    <xf numFmtId="0" fontId="7" fillId="6" borderId="0" applyAlignment="1" pivotButton="0" quotePrefix="0" xfId="0">
      <alignment horizontal="left" vertical="center" wrapText="1" indent="1"/>
    </xf>
    <xf numFmtId="0" fontId="1" fillId="7" borderId="0" applyAlignment="1" pivotButton="0" quotePrefix="0" xfId="0">
      <alignment horizontal="left" vertical="center" indent="1"/>
    </xf>
    <xf numFmtId="0" fontId="2" fillId="8" borderId="0" applyAlignment="1" pivotButton="0" quotePrefix="0" xfId="0">
      <alignment horizontal="left" vertical="center" indent="1"/>
    </xf>
    <xf numFmtId="0" fontId="2" fillId="7" borderId="0" applyAlignment="1" pivotButton="0" quotePrefix="0" xfId="0">
      <alignment horizontal="center" vertical="center" wrapText="1"/>
    </xf>
    <xf numFmtId="3" fontId="4" fillId="5" borderId="1" applyAlignment="1" pivotButton="0" quotePrefix="0" xfId="0">
      <alignment horizontal="right" vertical="center"/>
    </xf>
    <xf numFmtId="0" fontId="8" fillId="9" borderId="1" applyAlignment="1" pivotButton="0" quotePrefix="0" xfId="0">
      <alignment horizontal="right" vertical="center"/>
    </xf>
    <xf numFmtId="3" fontId="8" fillId="9" borderId="1" applyAlignment="1" pivotButton="0" quotePrefix="0" xfId="0">
      <alignment horizontal="right" vertical="center"/>
    </xf>
    <xf numFmtId="165" fontId="8" fillId="9" borderId="1" applyAlignment="1" pivotButton="0" quotePrefix="0" xfId="0">
      <alignment horizontal="right" vertical="center"/>
    </xf>
    <xf numFmtId="0" fontId="0" fillId="9" borderId="0" pivotButton="0" quotePrefix="0" xfId="0"/>
    <xf numFmtId="0" fontId="9" fillId="10" borderId="1" applyAlignment="1" pivotButton="0" quotePrefix="0" xfId="0">
      <alignment horizontal="left" vertical="center"/>
    </xf>
    <xf numFmtId="3" fontId="4" fillId="10" borderId="1" applyAlignment="1" pivotButton="0" quotePrefix="0" xfId="0">
      <alignment horizontal="right" vertical="center"/>
    </xf>
    <xf numFmtId="0" fontId="4" fillId="10" borderId="1" applyAlignment="1" pivotButton="0" quotePrefix="0" xfId="0">
      <alignment horizontal="right" vertical="center"/>
    </xf>
    <xf numFmtId="165" fontId="4" fillId="10" borderId="1" applyAlignment="1" pivotButton="0" quotePrefix="0" xfId="0">
      <alignment horizontal="right" vertical="center"/>
    </xf>
    <xf numFmtId="0" fontId="5" fillId="10" borderId="1" applyAlignment="1" pivotButton="0" quotePrefix="0" xfId="0">
      <alignment horizontal="left" vertical="center"/>
    </xf>
    <xf numFmtId="0" fontId="3" fillId="10" borderId="1" applyAlignment="1" pivotButton="0" quotePrefix="0" xfId="0">
      <alignment horizontal="left" vertical="center"/>
    </xf>
    <xf numFmtId="164" fontId="8" fillId="9" borderId="1" applyAlignment="1" pivotButton="0" quotePrefix="0" xfId="0">
      <alignment horizontal="right" vertical="center"/>
    </xf>
    <xf numFmtId="0" fontId="4" fillId="10" borderId="1" applyAlignment="1" pivotButton="0" quotePrefix="0" xfId="0">
      <alignment horizontal="left" vertical="center"/>
    </xf>
    <xf numFmtId="3" fontId="3" fillId="5" borderId="1" applyAlignment="1" pivotButton="0" quotePrefix="0" xfId="0">
      <alignment horizontal="right" vertical="center"/>
    </xf>
    <xf numFmtId="3" fontId="3" fillId="10" borderId="1" applyAlignment="1" pivotButton="0" quotePrefix="0" xfId="0">
      <alignment horizontal="right" vertical="center"/>
    </xf>
    <xf numFmtId="0" fontId="10" fillId="10" borderId="0" applyAlignment="1" pivotButton="0" quotePrefix="0" xfId="0">
      <alignment horizontal="left" vertical="center" indent="1"/>
    </xf>
    <xf numFmtId="3" fontId="4" fillId="3" borderId="1" applyAlignment="1" pivotButton="0" quotePrefix="0" xfId="0">
      <alignment horizontal="right" vertical="center"/>
    </xf>
    <xf numFmtId="3" fontId="3" fillId="4" borderId="1" applyAlignment="1" pivotButton="0" quotePrefix="0" xfId="0">
      <alignment horizontal="right" vertical="center"/>
    </xf>
    <xf numFmtId="0" fontId="11" fillId="5" borderId="1" applyAlignment="1" pivotButton="0" quotePrefix="0" xfId="0">
      <alignment horizontal="center" vertical="center"/>
    </xf>
    <xf numFmtId="0" fontId="12" fillId="11" borderId="1" applyAlignment="1" pivotButton="0" quotePrefix="0" xfId="0">
      <alignment horizontal="center" vertical="center"/>
    </xf>
    <xf numFmtId="3" fontId="2" fillId="2" borderId="1" applyAlignment="1" pivotButton="0" quotePrefix="0" xfId="0">
      <alignment horizontal="right" vertical="center"/>
    </xf>
    <xf numFmtId="2" fontId="4" fillId="3" borderId="1" applyAlignment="1" pivotButton="0" quotePrefix="0" xfId="0">
      <alignment horizontal="right" vertical="center"/>
    </xf>
    <xf numFmtId="2" fontId="2" fillId="2" borderId="1" applyAlignment="1" pivotButton="0" quotePrefix="0" xfId="0">
      <alignment horizontal="right" vertical="center"/>
    </xf>
    <xf numFmtId="0" fontId="2" fillId="12" borderId="0" applyAlignment="1" pivotButton="0" quotePrefix="0" xfId="0">
      <alignment horizontal="center" vertical="center" wrapText="1"/>
    </xf>
    <xf numFmtId="0" fontId="2" fillId="7" borderId="0" applyAlignment="1" pivotButton="0" quotePrefix="0" xfId="0">
      <alignment horizontal="left" vertical="center" indent="1"/>
    </xf>
    <xf numFmtId="164" fontId="4" fillId="10" borderId="1" applyAlignment="1" pivotButton="0" quotePrefix="0" xfId="0">
      <alignment horizontal="right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styles" Target="styles.xml" Id="rId7"/><Relationship Type="http://schemas.openxmlformats.org/officeDocument/2006/relationships/theme" Target="theme/theme1.xml" Id="rId8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D25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8" customWidth="1" min="2" max="2"/>
    <col width="16" customWidth="1" min="3" max="3"/>
    <col width="44" customWidth="1" min="4" max="4"/>
  </cols>
  <sheetData>
    <row r="1" ht="34" customHeight="1">
      <c r="A1" s="1" t="inlineStr">
        <is>
          <t>MowDirect — Monthly Cost Report  |  May 2026</t>
        </is>
      </c>
    </row>
    <row r="2" ht="4" customHeight="1"/>
    <row r="3" ht="22" customHeight="1">
      <c r="A3" s="2" t="inlineStr">
        <is>
          <t>Metric</t>
        </is>
      </c>
      <c r="B3" s="2" t="inlineStr">
        <is>
          <t>Amount (£)</t>
        </is>
      </c>
      <c r="C3" s="2" t="inlineStr">
        <is>
          <t>% of Net Revenue</t>
        </is>
      </c>
      <c r="D3" s="2" t="inlineStr">
        <is>
          <t>Notes</t>
        </is>
      </c>
    </row>
    <row r="4" ht="18" customHeight="1">
      <c r="A4" s="3" t="inlineStr">
        <is>
          <t>Net Revenue (all channels, ex-VAT)</t>
        </is>
      </c>
      <c r="B4" s="4">
        <f>'Marketplace Fees &amp; Commissions'!D19</f>
        <v/>
      </c>
      <c r="C4" s="5">
        <f>IFERROR(B4/B4,0)</f>
        <v/>
      </c>
      <c r="D4" s="6" t="inlineStr">
        <is>
          <t>Shopify Direct + eBay + Amazon + ManoMano + OnBuy + B&amp;Q</t>
        </is>
      </c>
    </row>
    <row r="5" ht="8" customHeight="1"/>
    <row r="6" ht="18" customHeight="1">
      <c r="A6" s="3" t="inlineStr">
        <is>
          <t>Marketplace commissions &amp; fees</t>
        </is>
      </c>
      <c r="B6" s="4">
        <f>'Marketplace Fees &amp; Commissions'!C19</f>
        <v/>
      </c>
      <c r="C6" s="5">
        <f>IFERROR(B6/B4,0)</f>
        <v/>
      </c>
      <c r="D6" s="6" t="inlineStr">
        <is>
          <t>Referral fees, subscriptions, listing charges — see Marketplace Fees tab</t>
        </is>
      </c>
    </row>
    <row r="7" ht="18" customHeight="1">
      <c r="A7" s="3" t="inlineStr">
        <is>
          <t>Commission paid to Wayne Theisinger</t>
        </is>
      </c>
      <c r="B7" s="4">
        <f>B4*0.04</f>
        <v/>
      </c>
      <c r="C7" s="5">
        <f>IFERROR(B7/B4,0)</f>
        <v/>
      </c>
      <c r="D7" s="6" t="inlineStr">
        <is>
          <t>4% of Net Revenue across all channels (pre-audit estimate).</t>
        </is>
      </c>
    </row>
    <row r="8" ht="18" customHeight="1">
      <c r="A8" s="3" t="inlineStr">
        <is>
          <t>Total paid ad spend</t>
        </is>
      </c>
      <c r="B8" s="4">
        <f>'Ad Spend'!C6</f>
        <v/>
      </c>
      <c r="C8" s="5">
        <f>IFERROR(B8/B4,0)</f>
        <v/>
      </c>
      <c r="D8" s="6" t="inlineStr">
        <is>
          <t>Google Ads + eBay Promoted Listings</t>
        </is>
      </c>
    </row>
    <row r="9" ht="8" customHeight="1"/>
    <row r="10" ht="18" customHeight="1">
      <c r="A10" s="7" t="inlineStr">
        <is>
          <t>Total deductions (fees + commission + ads)</t>
        </is>
      </c>
      <c r="B10" s="8">
        <f>B6+B7+B8</f>
        <v/>
      </c>
      <c r="C10" s="9">
        <f>IFERROR(B10/B4,0)</f>
        <v/>
      </c>
      <c r="D10" s="10" t="inlineStr">
        <is>
          <t>All costs combined</t>
        </is>
      </c>
    </row>
    <row r="11" ht="18" customHeight="1">
      <c r="A11" s="7" t="inlineStr">
        <is>
          <t>Contribution after deductions</t>
        </is>
      </c>
      <c r="B11" s="8">
        <f>B4-B10</f>
        <v/>
      </c>
      <c r="C11" s="9">
        <f>IFERROR(B11/B4,0)</f>
        <v/>
      </c>
      <c r="D11" s="10" t="inlineStr">
        <is>
          <t>Net revenue minus all marketplace costs.</t>
        </is>
      </c>
    </row>
    <row r="13" ht="20" customHeight="1">
      <c r="A13" s="11" t="inlineStr">
        <is>
          <t xml:space="preserve">  Commissions &amp; Fees by Channel</t>
        </is>
      </c>
    </row>
    <row r="14" ht="22" customHeight="1">
      <c r="A14" s="2" t="inlineStr">
        <is>
          <t>Channel</t>
        </is>
      </c>
      <c r="B14" s="2" t="inlineStr">
        <is>
          <t>Net Revenue (£)</t>
        </is>
      </c>
      <c r="C14" s="2" t="inlineStr">
        <is>
          <t>Commissions &amp; Fees (£)</t>
        </is>
      </c>
      <c r="D14" s="2" t="inlineStr">
        <is>
          <t>Fee %</t>
        </is>
      </c>
    </row>
    <row r="15">
      <c r="A15" s="12" t="inlineStr">
        <is>
          <t>Shopify Direct</t>
        </is>
      </c>
      <c r="B15" s="4">
        <f>'Marketplace Fees &amp; Commissions'!D5</f>
        <v/>
      </c>
      <c r="C15" s="4">
        <f>'Marketplace Fees &amp; Commissions'!C5</f>
        <v/>
      </c>
      <c r="D15" s="5">
        <f>IFERROR(C15/B15,0)</f>
        <v/>
      </c>
    </row>
    <row r="16">
      <c r="A16" s="13" t="inlineStr">
        <is>
          <t>eBay</t>
        </is>
      </c>
      <c r="B16" s="14">
        <f>'Marketplace Fees &amp; Commissions'!D12</f>
        <v/>
      </c>
      <c r="C16" s="14">
        <f>'Marketplace Fees &amp; Commissions'!C12</f>
        <v/>
      </c>
      <c r="D16" s="15">
        <f>IFERROR(C16/B16,0)</f>
        <v/>
      </c>
    </row>
    <row r="17">
      <c r="A17" s="12" t="inlineStr">
        <is>
          <t>Amazon</t>
        </is>
      </c>
      <c r="B17" s="4">
        <f>'Marketplace Fees &amp; Commissions'!D16</f>
        <v/>
      </c>
      <c r="C17" s="4">
        <f>'Marketplace Fees &amp; Commissions'!C16</f>
        <v/>
      </c>
      <c r="D17" s="5">
        <f>IFERROR(C17/B17,0)</f>
        <v/>
      </c>
    </row>
    <row r="18">
      <c r="A18" s="13" t="inlineStr">
        <is>
          <t>B&amp;Q (Mirakl)</t>
        </is>
      </c>
      <c r="B18" s="14">
        <f>'Marketplace Fees &amp; Commissions'!D18</f>
        <v/>
      </c>
      <c r="C18" s="14">
        <f>'Marketplace Fees &amp; Commissions'!C18</f>
        <v/>
      </c>
      <c r="D18" s="15">
        <f>IFERROR(C18/B18,0)</f>
        <v/>
      </c>
    </row>
    <row r="19">
      <c r="A19" s="16" t="inlineStr">
        <is>
          <t>TOTAL</t>
        </is>
      </c>
      <c r="B19" s="8">
        <f>SUM(B15:B18)</f>
        <v/>
      </c>
      <c r="C19" s="8">
        <f>SUM(C15:C18)</f>
        <v/>
      </c>
      <c r="D19" s="9">
        <f>IFERROR(C19/B19,0)</f>
        <v/>
      </c>
    </row>
    <row r="21" ht="20" customHeight="1">
      <c r="A21" s="11" t="inlineStr">
        <is>
          <t xml:space="preserve">  Ad Spend by Platform</t>
        </is>
      </c>
    </row>
    <row r="22" ht="22" customHeight="1">
      <c r="A22" s="2" t="inlineStr">
        <is>
          <t>Platform</t>
        </is>
      </c>
      <c r="B22" s="2" t="inlineStr">
        <is>
          <t>Spend (£)</t>
        </is>
      </c>
      <c r="C22" s="2" t="inlineStr">
        <is>
          <t>% of Net Revenue</t>
        </is>
      </c>
      <c r="D22" s="2" t="inlineStr">
        <is>
          <t>Note / Coverage</t>
        </is>
      </c>
    </row>
    <row r="23">
      <c r="A23" s="12" t="inlineStr">
        <is>
          <t>Google Ads</t>
        </is>
      </c>
      <c r="B23" s="4">
        <f>'Ad Spend'!C4</f>
        <v/>
      </c>
      <c r="C23" s="5">
        <f>IFERROR(B23/B4,0)</f>
        <v/>
      </c>
      <c r="D23" s="17" t="inlineStr">
        <is>
          <t>COMPLETE</t>
        </is>
      </c>
    </row>
    <row r="24">
      <c r="A24" s="13" t="inlineStr">
        <is>
          <t>eBay Promoted Listings</t>
        </is>
      </c>
      <c r="B24" s="14" t="n">
        <v>0</v>
      </c>
      <c r="C24" s="15">
        <f>IFERROR(B24/B4,0)</f>
        <v/>
      </c>
      <c r="D24" s="17" t="inlineStr">
        <is>
          <t>COMPLETE</t>
        </is>
      </c>
    </row>
    <row r="25">
      <c r="A25" s="16" t="inlineStr">
        <is>
          <t>TOTAL</t>
        </is>
      </c>
      <c r="B25" s="8">
        <f>SUM(B23:B24)</f>
        <v/>
      </c>
      <c r="C25" s="9">
        <f>IFERROR(B25/B4,0)</f>
        <v/>
      </c>
      <c r="D25" s="18" t="n"/>
    </row>
  </sheetData>
  <mergeCells count="3">
    <mergeCell ref="A1:D1"/>
    <mergeCell ref="A13:D13"/>
    <mergeCell ref="A21:D21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21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36" customWidth="1" min="2" max="2"/>
    <col width="14" customWidth="1" min="3" max="3"/>
    <col width="16" customWidth="1" min="4" max="4"/>
    <col width="14" customWidth="1" min="5" max="5"/>
    <col width="26" customWidth="1" min="6" max="6"/>
    <col width="16" customWidth="1" min="7" max="7"/>
  </cols>
  <sheetData>
    <row r="1" ht="34" customHeight="1">
      <c r="A1" s="1" t="inlineStr">
        <is>
          <t>Marketplace Commissions &amp; Fees  |  May 2026</t>
        </is>
      </c>
    </row>
    <row r="2" ht="4" customHeight="1"/>
    <row r="3" ht="22" customHeight="1">
      <c r="A3" s="2" t="inlineStr">
        <is>
          <t>Channel</t>
        </is>
      </c>
      <c r="B3" s="2" t="inlineStr">
        <is>
          <t>Fee Type</t>
        </is>
      </c>
      <c r="C3" s="2" t="inlineStr">
        <is>
          <t>Amount (£)</t>
        </is>
      </c>
      <c r="D3" s="2" t="inlineStr">
        <is>
          <t>Net Channel Revenue (£)</t>
        </is>
      </c>
      <c r="E3" s="2" t="inlineStr">
        <is>
          <t>Fee as % of Net Revenue</t>
        </is>
      </c>
      <c r="F3" s="2" t="inlineStr">
        <is>
          <t>Data Source</t>
        </is>
      </c>
      <c r="G3" s="2" t="inlineStr">
        <is>
          <t>Coverage</t>
        </is>
      </c>
    </row>
    <row r="4">
      <c r="A4" s="13" t="inlineStr">
        <is>
          <t>Shopify Direct</t>
        </is>
      </c>
      <c r="B4" s="19" t="inlineStr">
        <is>
          <t>Payment processing fees</t>
        </is>
      </c>
      <c r="C4" s="14" t="n">
        <v>1934.94</v>
      </c>
      <c r="D4" s="14" t="n">
        <v>106424.84</v>
      </c>
      <c r="E4" s="15">
        <f>IFERROR(C4/D4,0)</f>
        <v/>
      </c>
      <c r="F4" s="20" t="inlineStr">
        <is>
          <t>Shopify GraphQL</t>
        </is>
      </c>
      <c r="G4" s="17" t="inlineStr">
        <is>
          <t>COMPLETE</t>
        </is>
      </c>
    </row>
    <row r="5">
      <c r="A5" s="16" t="inlineStr">
        <is>
          <t>Shopify Direct subtotal</t>
        </is>
      </c>
      <c r="B5" s="18" t="n"/>
      <c r="C5" s="8">
        <f>SUM(C4:C4)</f>
        <v/>
      </c>
      <c r="D5" s="8">
        <f>D4</f>
        <v/>
      </c>
      <c r="E5" s="9">
        <f>IFERROR(C5/D5,0)</f>
        <v/>
      </c>
      <c r="F5" s="18" t="n"/>
      <c r="G5" s="18" t="n"/>
    </row>
    <row r="6">
      <c r="A6" s="13" t="inlineStr">
        <is>
          <t>eBay</t>
        </is>
      </c>
      <c r="B6" s="19" t="inlineStr">
        <is>
          <t>Final value fees</t>
        </is>
      </c>
      <c r="C6" s="14" t="n">
        <v>305.2</v>
      </c>
      <c r="D6" s="14" t="n">
        <v>2333.32</v>
      </c>
      <c r="E6" s="15">
        <f>IFERROR(C6/D6,0)</f>
        <v/>
      </c>
      <c r="F6" s="20" t="inlineStr">
        <is>
          <t>eBay Finances API</t>
        </is>
      </c>
      <c r="G6" s="17" t="inlineStr">
        <is>
          <t>COMPLETE</t>
        </is>
      </c>
    </row>
    <row r="7">
      <c r="A7" s="3" t="inlineStr"/>
      <c r="B7" s="3" t="inlineStr">
        <is>
          <t>Regulatory operating fee</t>
        </is>
      </c>
      <c r="C7" s="4" t="n">
        <v>9.800000000000001</v>
      </c>
      <c r="D7" s="21" t="n"/>
      <c r="E7" s="5">
        <f>IFERROR(C7/D6,0)</f>
        <v/>
      </c>
      <c r="F7" s="6" t="inlineStr"/>
      <c r="G7" s="22" t="inlineStr"/>
    </row>
    <row r="8">
      <c r="A8" s="19" t="inlineStr"/>
      <c r="B8" s="19" t="inlineStr">
        <is>
          <t>Fixed per-order fee</t>
        </is>
      </c>
      <c r="C8" s="14" t="n">
        <v>0.8</v>
      </c>
      <c r="D8" s="23" t="n"/>
      <c r="E8" s="15">
        <f>IFERROR(C8/D6,0)</f>
        <v/>
      </c>
      <c r="F8" s="20" t="inlineStr"/>
      <c r="G8" s="24" t="inlineStr"/>
    </row>
    <row r="9">
      <c r="A9" s="3" t="inlineStr"/>
      <c r="B9" s="3" t="inlineStr">
        <is>
          <t>Other eBay charges</t>
        </is>
      </c>
      <c r="C9" s="4" t="n">
        <v>27</v>
      </c>
      <c r="D9" s="21" t="n"/>
      <c r="E9" s="5">
        <f>IFERROR(C9/D6,0)</f>
        <v/>
      </c>
      <c r="F9" s="6" t="inlineStr"/>
      <c r="G9" s="22" t="inlineStr"/>
    </row>
    <row r="10">
      <c r="A10" s="19" t="inlineStr"/>
      <c r="B10" s="19" t="inlineStr">
        <is>
          <t>Insertion fees</t>
        </is>
      </c>
      <c r="C10" s="14" t="n">
        <v>0.1</v>
      </c>
      <c r="D10" s="23" t="n"/>
      <c r="E10" s="15">
        <f>IFERROR(C10/D6,0)</f>
        <v/>
      </c>
      <c r="F10" s="20" t="inlineStr"/>
      <c r="G10" s="24" t="inlineStr"/>
    </row>
    <row r="11">
      <c r="A11" s="3" t="inlineStr"/>
      <c r="B11" s="3" t="inlineStr">
        <is>
          <t>Fee credits (refunds from eBay)</t>
        </is>
      </c>
      <c r="C11" s="4" t="n">
        <v>-166.66</v>
      </c>
      <c r="D11" s="21" t="n"/>
      <c r="E11" s="5">
        <f>IFERROR(C11/D6,0)</f>
        <v/>
      </c>
      <c r="F11" s="6" t="inlineStr"/>
      <c r="G11" s="22" t="inlineStr"/>
    </row>
    <row r="12">
      <c r="A12" s="16" t="inlineStr">
        <is>
          <t>eBay subtotal</t>
        </is>
      </c>
      <c r="B12" s="18" t="n"/>
      <c r="C12" s="8">
        <f>SUM(C6:C11)</f>
        <v/>
      </c>
      <c r="D12" s="8">
        <f>D6</f>
        <v/>
      </c>
      <c r="E12" s="9">
        <f>IFERROR(C12/D12,0)</f>
        <v/>
      </c>
      <c r="F12" s="18" t="n"/>
      <c r="G12" s="18" t="n"/>
    </row>
    <row r="13">
      <c r="A13" s="12" t="inlineStr">
        <is>
          <t>Amazon</t>
        </is>
      </c>
      <c r="B13" s="3" t="inlineStr">
        <is>
          <t>Commission</t>
        </is>
      </c>
      <c r="C13" s="4" t="n">
        <v>4164.93</v>
      </c>
      <c r="D13" s="4" t="n">
        <v>22249.25</v>
      </c>
      <c r="E13" s="5">
        <f>IFERROR(C13/D13,0)</f>
        <v/>
      </c>
      <c r="F13" s="6" t="inlineStr">
        <is>
          <t>SP-API Finances (Principal) · correct to: 25 May 2026</t>
        </is>
      </c>
      <c r="G13" s="17" t="inlineStr">
        <is>
          <t>COMPLETE</t>
        </is>
      </c>
    </row>
    <row r="14">
      <c r="A14" s="19" t="inlineStr"/>
      <c r="B14" s="19" t="inlineStr">
        <is>
          <t>DigitalServicesFee</t>
        </is>
      </c>
      <c r="C14" s="14" t="n">
        <v>104.28</v>
      </c>
      <c r="D14" s="23" t="n"/>
      <c r="E14" s="15">
        <f>IFERROR(C14/D13,0)</f>
        <v/>
      </c>
      <c r="F14" s="20" t="inlineStr"/>
      <c r="G14" s="24" t="inlineStr"/>
    </row>
    <row r="15">
      <c r="A15" s="3" t="inlineStr"/>
      <c r="B15" s="3" t="inlineStr">
        <is>
          <t>RefundCommission</t>
        </is>
      </c>
      <c r="C15" s="4" t="n">
        <v>54.5</v>
      </c>
      <c r="D15" s="21" t="n"/>
      <c r="E15" s="5">
        <f>IFERROR(C15/D13,0)</f>
        <v/>
      </c>
      <c r="F15" s="6" t="inlineStr"/>
      <c r="G15" s="22" t="inlineStr"/>
    </row>
    <row r="16">
      <c r="A16" s="16" t="inlineStr">
        <is>
          <t>Amazon subtotal</t>
        </is>
      </c>
      <c r="B16" s="18" t="n"/>
      <c r="C16" s="8">
        <f>SUM(C13:C15)</f>
        <v/>
      </c>
      <c r="D16" s="8">
        <f>D13</f>
        <v/>
      </c>
      <c r="E16" s="9">
        <f>IFERROR(C16/D16,0)</f>
        <v/>
      </c>
      <c r="F16" s="18" t="n"/>
      <c r="G16" s="18" t="n"/>
    </row>
    <row r="17">
      <c r="A17" s="12" t="inlineStr">
        <is>
          <t>B&amp;Q (Mirakl)</t>
        </is>
      </c>
      <c r="B17" s="3" t="inlineStr">
        <is>
          <t>Commission</t>
        </is>
      </c>
      <c r="C17" s="4" t="n">
        <v>7946.25</v>
      </c>
      <c r="D17" s="4" t="n">
        <v>81807.74000000001</v>
      </c>
      <c r="E17" s="5">
        <f>IFERROR(C17/D17,0)</f>
        <v/>
      </c>
      <c r="F17" s="6" t="inlineStr">
        <is>
          <t>Mirakl API</t>
        </is>
      </c>
      <c r="G17" s="17" t="inlineStr">
        <is>
          <t>COMPLETE</t>
        </is>
      </c>
    </row>
    <row r="18">
      <c r="A18" s="16" t="inlineStr">
        <is>
          <t>B&amp;Q (Mirakl) subtotal</t>
        </is>
      </c>
      <c r="B18" s="18" t="n"/>
      <c r="C18" s="8">
        <f>SUM(C17:C17)</f>
        <v/>
      </c>
      <c r="D18" s="8">
        <f>D17</f>
        <v/>
      </c>
      <c r="E18" s="9">
        <f>IFERROR(C18/D18,0)</f>
        <v/>
      </c>
      <c r="F18" s="18" t="n"/>
      <c r="G18" s="18" t="n"/>
    </row>
    <row r="19" ht="18" customHeight="1">
      <c r="A19" s="25" t="inlineStr">
        <is>
          <t>GRAND TOTAL — MARKETPLACE FEES</t>
        </is>
      </c>
      <c r="B19" s="26" t="n"/>
      <c r="C19" s="27">
        <f>C5+C12+C16+C18</f>
        <v/>
      </c>
      <c r="D19" s="27">
        <f>D5+D12+D16+D18</f>
        <v/>
      </c>
      <c r="E19" s="28">
        <f>IFERROR(C19/D19,0)</f>
        <v/>
      </c>
      <c r="F19" s="26" t="n"/>
      <c r="G19" s="26" t="n"/>
    </row>
    <row r="21" ht="58" customHeight="1">
      <c r="A21" s="29" t="inlineStr">
        <is>
          <t>ℹ  Margin note — Amazon's referral fee is ~15% of GROSS (inc-VAT) sales, which works out to a HIGHER share of NET (ex-VAT) revenue — ~18-19%, as shown above. This is a real effect to be aware of: Amazon's effective cost against net revenue genuinely exceeds the 15% headline rate. It is surfaced here deliberately rather than masked. (Fees are already shown ex-VAT — the reclaimable 20% VAT Amazon charges on its fees has been removed.)</t>
        </is>
      </c>
    </row>
  </sheetData>
  <mergeCells count="2">
    <mergeCell ref="A21:G21"/>
    <mergeCell ref="A1:G1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E30"/>
  <sheetViews>
    <sheetView showGridLines="0" workbookViewId="0">
      <selection activeCell="A1" sqref="A1"/>
    </sheetView>
  </sheetViews>
  <sheetFormatPr baseColWidth="8" defaultRowHeight="15"/>
  <cols>
    <col width="40" customWidth="1" min="1" max="1"/>
    <col width="14" customWidth="1" min="2" max="2"/>
    <col width="14" customWidth="1" min="3" max="3"/>
    <col width="16" customWidth="1" min="4" max="4"/>
    <col width="38" customWidth="1" min="5" max="5"/>
  </cols>
  <sheetData>
    <row r="1" ht="34" customHeight="1">
      <c r="A1" s="30" t="inlineStr">
        <is>
          <t>Amazon FBA — Returns, Removals &amp; Stranded Stock  |  May 2026</t>
        </is>
      </c>
    </row>
    <row r="2" ht="4" customHeight="1"/>
    <row r="3" ht="20" customHeight="1">
      <c r="A3" s="31" t="inlineStr">
        <is>
          <t xml:space="preserve">  Customer Returns Received by Amazon</t>
        </is>
      </c>
    </row>
    <row r="4" ht="22" customHeight="1">
      <c r="A4" s="32" t="inlineStr">
        <is>
          <t>Disposition</t>
        </is>
      </c>
      <c r="B4" s="32" t="inlineStr">
        <is>
          <t>Units</t>
        </is>
      </c>
      <c r="C4" s="32" t="inlineStr">
        <is>
          <t>Lines</t>
        </is>
      </c>
      <c r="D4" s="32" t="inlineStr">
        <is>
          <t>% of Returns</t>
        </is>
      </c>
      <c r="E4" s="32" t="inlineStr">
        <is>
          <t>Notes</t>
        </is>
      </c>
    </row>
    <row r="5">
      <c r="A5" s="3" t="inlineStr">
        <is>
          <t>Unsellable — customer damaged</t>
        </is>
      </c>
      <c r="B5" s="33" t="n">
        <v>1</v>
      </c>
      <c r="C5" s="33" t="n">
        <v>1</v>
      </c>
      <c r="D5" s="5">
        <f>IFERROR(B5/B6,0)</f>
        <v/>
      </c>
      <c r="E5" s="22" t="inlineStr"/>
    </row>
    <row r="6">
      <c r="A6" s="34" t="inlineStr">
        <is>
          <t>TOTAL CUSTOMER RETURNS</t>
        </is>
      </c>
      <c r="B6" s="35">
        <f>SUM(B5:B5)</f>
        <v/>
      </c>
      <c r="C6" s="35">
        <f>SUM(C5:C5)</f>
        <v/>
      </c>
      <c r="D6" s="36">
        <f>IFERROR(B6/B6,0)</f>
        <v/>
      </c>
      <c r="E6" s="37" t="n"/>
    </row>
    <row r="7">
      <c r="A7" s="38" t="inlineStr">
        <is>
          <t>↳ Returned to active inventory</t>
        </is>
      </c>
      <c r="B7" s="39" t="n">
        <v>0</v>
      </c>
      <c r="C7" s="40" t="inlineStr"/>
      <c r="D7" s="41">
        <f>IFERROR(B7/B6,0)</f>
        <v/>
      </c>
      <c r="E7" s="42" t="inlineStr">
        <is>
          <t>Available for re-sale immediately.</t>
        </is>
      </c>
    </row>
    <row r="8">
      <c r="A8" s="38" t="inlineStr">
        <is>
          <t>↳ Stranded as unfulfillable</t>
        </is>
      </c>
      <c r="B8" s="39" t="n">
        <v>1</v>
      </c>
      <c r="C8" s="40" t="inlineStr"/>
      <c r="D8" s="41">
        <f>IFERROR(B8/B6,0)</f>
        <v/>
      </c>
      <c r="E8" s="42" t="inlineStr">
        <is>
          <t>Sit at Amazon until removed, disposed of, or aged out.</t>
        </is>
      </c>
    </row>
    <row r="10" ht="20" customHeight="1">
      <c r="A10" s="31" t="inlineStr">
        <is>
          <t xml:space="preserve">  Removal Shipments (units processed by Amazon this month)</t>
        </is>
      </c>
    </row>
    <row r="11" ht="22" customHeight="1">
      <c r="A11" s="32" t="inlineStr">
        <is>
          <t>Order Type</t>
        </is>
      </c>
      <c r="B11" s="32" t="inlineStr">
        <is>
          <t>Units</t>
        </is>
      </c>
      <c r="C11" s="32" t="inlineStr">
        <is>
          <t>Shipments</t>
        </is>
      </c>
      <c r="D11" s="32" t="inlineStr"/>
      <c r="E11" s="32" t="inlineStr">
        <is>
          <t>Meaning</t>
        </is>
      </c>
    </row>
    <row r="12">
      <c r="A12" s="43" t="inlineStr">
        <is>
          <t>Return</t>
        </is>
      </c>
      <c r="B12" s="39" t="n">
        <v>1</v>
      </c>
      <c r="C12" s="39" t="n">
        <v>1</v>
      </c>
      <c r="D12" s="40" t="inlineStr"/>
      <c r="E12" s="42" t="inlineStr">
        <is>
          <t>Shipped back to MowDirect.</t>
        </is>
      </c>
    </row>
    <row r="13">
      <c r="A13" s="34" t="inlineStr">
        <is>
          <t>TOTAL REMOVAL UNITS</t>
        </is>
      </c>
      <c r="B13" s="35">
        <f>SUM(B12:B12)</f>
        <v/>
      </c>
      <c r="C13" s="37" t="n"/>
      <c r="D13" s="37" t="n"/>
      <c r="E13" s="37" t="n"/>
    </row>
    <row r="15" ht="20" customHeight="1">
      <c r="A15" s="31" t="inlineStr">
        <is>
          <t xml:space="preserve">  Removal &amp; Disposal Costs (from Amazon Finances)</t>
        </is>
      </c>
    </row>
    <row r="16" ht="22" customHeight="1">
      <c r="A16" s="32" t="inlineStr">
        <is>
          <t>Fee Type</t>
        </is>
      </c>
      <c r="B16" s="32" t="inlineStr">
        <is>
          <t>Amount (£)</t>
        </is>
      </c>
      <c r="C16" s="32" t="inlineStr"/>
      <c r="D16" s="32" t="inlineStr"/>
      <c r="E16" s="32" t="inlineStr">
        <is>
          <t>Notes</t>
        </is>
      </c>
    </row>
    <row r="17">
      <c r="A17" s="3" t="inlineStr">
        <is>
          <t>FBA removal fees</t>
        </is>
      </c>
      <c r="B17" s="4" t="n">
        <v>36.63</v>
      </c>
      <c r="C17" s="22" t="inlineStr"/>
      <c r="D17" s="22" t="inlineStr"/>
      <c r="E17" s="6" t="inlineStr">
        <is>
          <t>Per-unit fee charged when removing stranded stock.</t>
        </is>
      </c>
    </row>
    <row r="18">
      <c r="A18" s="34" t="inlineStr">
        <is>
          <t>TOTAL REMOVAL / DISPOSAL COST</t>
        </is>
      </c>
      <c r="B18" s="44">
        <f>SUM(B17:B17)</f>
        <v/>
      </c>
      <c r="C18" s="37" t="n"/>
      <c r="D18" s="37" t="n"/>
      <c r="E18" s="37" t="n"/>
    </row>
    <row r="20" ht="20" customHeight="1">
      <c r="A20" s="31" t="inlineStr">
        <is>
          <t xml:space="preserve">  Current Inventory Snapshot — units sitting at Amazon today</t>
        </is>
      </c>
    </row>
    <row r="21" ht="22" customHeight="1">
      <c r="A21" s="32" t="inlineStr">
        <is>
          <t>Bucket</t>
        </is>
      </c>
      <c r="B21" s="32" t="inlineStr">
        <is>
          <t>Units</t>
        </is>
      </c>
      <c r="C21" s="32" t="inlineStr"/>
      <c r="D21" s="32" t="inlineStr"/>
      <c r="E21" s="32" t="inlineStr">
        <is>
          <t>Meaning</t>
        </is>
      </c>
    </row>
    <row r="22">
      <c r="A22" s="45" t="inlineStr">
        <is>
          <t>Fulfillable (sellable)</t>
        </is>
      </c>
      <c r="B22" s="39" t="n">
        <v>205</v>
      </c>
      <c r="C22" s="40" t="inlineStr"/>
      <c r="D22" s="40" t="inlineStr"/>
      <c r="E22" s="42" t="inlineStr">
        <is>
          <t>Active inventory available to ship to customers.</t>
        </is>
      </c>
    </row>
    <row r="23">
      <c r="A23" s="12" t="inlineStr">
        <is>
          <t>Unfulfillable</t>
        </is>
      </c>
      <c r="B23" s="46" t="n">
        <v>0</v>
      </c>
      <c r="C23" s="22" t="inlineStr"/>
      <c r="D23" s="22" t="inlineStr"/>
      <c r="E23" s="6" t="inlineStr">
        <is>
          <t>Stranded — could be removed or disposed.</t>
        </is>
      </c>
    </row>
    <row r="24">
      <c r="A24" s="43" t="inlineStr">
        <is>
          <t>Researching</t>
        </is>
      </c>
      <c r="B24" s="47" t="n">
        <v>0</v>
      </c>
      <c r="C24" s="40" t="inlineStr"/>
      <c r="D24" s="40" t="inlineStr"/>
      <c r="E24" s="42" t="inlineStr">
        <is>
          <t>Lost/damaged claims under investigation by Amazon.</t>
        </is>
      </c>
    </row>
    <row r="25">
      <c r="A25" s="3" t="inlineStr">
        <is>
          <t>Inbound working</t>
        </is>
      </c>
      <c r="B25" s="33" t="n">
        <v>0</v>
      </c>
      <c r="C25" s="22" t="inlineStr"/>
      <c r="D25" s="22" t="inlineStr"/>
      <c r="E25" s="6" t="inlineStr">
        <is>
          <t>Shipment created in Seller Central but not yet sent.</t>
        </is>
      </c>
    </row>
    <row r="26">
      <c r="A26" s="45" t="inlineStr">
        <is>
          <t>Inbound shipped</t>
        </is>
      </c>
      <c r="B26" s="39" t="n">
        <v>4</v>
      </c>
      <c r="C26" s="40" t="inlineStr"/>
      <c r="D26" s="40" t="inlineStr"/>
      <c r="E26" s="42" t="inlineStr">
        <is>
          <t>In transit from MowDirect/supplier to fulfilment centre.</t>
        </is>
      </c>
    </row>
    <row r="27">
      <c r="A27" s="3" t="inlineStr">
        <is>
          <t>Inbound receiving</t>
        </is>
      </c>
      <c r="B27" s="33" t="n">
        <v>1</v>
      </c>
      <c r="C27" s="22" t="inlineStr"/>
      <c r="D27" s="22" t="inlineStr"/>
      <c r="E27" s="6" t="inlineStr">
        <is>
          <t>Arrived at FC, being checked in.</t>
        </is>
      </c>
    </row>
    <row r="28">
      <c r="A28" s="34" t="inlineStr">
        <is>
          <t>AVAILABLE TO BE PICKED UP / DISPOSED</t>
        </is>
      </c>
      <c r="B28" s="35">
        <f>B23+B24</f>
        <v/>
      </c>
      <c r="C28" s="37" t="n"/>
      <c r="D28" s="37" t="n"/>
      <c r="E28" s="37" t="n"/>
    </row>
    <row r="30" ht="20" customHeight="1">
      <c r="A30" s="48" t="inlineStr">
        <is>
          <t>ℹ  Inventory snapshot covers 26 active FBA SKUs at the time of report generation. Customer-returns and removal-shipment figures cover the reporting month only.</t>
        </is>
      </c>
    </row>
  </sheetData>
  <mergeCells count="6">
    <mergeCell ref="A30:E30"/>
    <mergeCell ref="A20:E20"/>
    <mergeCell ref="A15:E15"/>
    <mergeCell ref="A10:E10"/>
    <mergeCell ref="A1:E1"/>
    <mergeCell ref="A3:E3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E12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36" customWidth="1" min="2" max="2"/>
    <col width="12" customWidth="1" min="3" max="3"/>
    <col width="16" customWidth="1" min="4" max="4"/>
    <col width="38" customWidth="1" min="5" max="5"/>
  </cols>
  <sheetData>
    <row r="1" ht="34" customHeight="1">
      <c r="A1" s="1" t="inlineStr">
        <is>
          <t>Order Cancellations  |  May 2026</t>
        </is>
      </c>
    </row>
    <row r="2" ht="4" customHeight="1"/>
    <row r="3" ht="22" customHeight="1">
      <c r="A3" s="2" t="inlineStr">
        <is>
          <t>Channel</t>
        </is>
      </c>
      <c r="B3" s="2" t="inlineStr">
        <is>
          <t>Reason / Attribution</t>
        </is>
      </c>
      <c r="C3" s="2" t="inlineStr">
        <is>
          <t>Orders</t>
        </is>
      </c>
      <c r="D3" s="2" t="inlineStr">
        <is>
          <t>Value (£)</t>
        </is>
      </c>
      <c r="E3" s="2" t="inlineStr">
        <is>
          <t>Notes / Coverage</t>
        </is>
      </c>
    </row>
    <row r="4">
      <c r="A4" s="13" t="inlineStr">
        <is>
          <t>Shopify Direct</t>
        </is>
      </c>
      <c r="B4" s="19" t="inlineStr">
        <is>
          <t>Unknown</t>
        </is>
      </c>
      <c r="C4" s="49" t="n">
        <v>9</v>
      </c>
      <c r="D4" s="14" t="n">
        <v>3645.67</v>
      </c>
      <c r="E4" s="17" t="inlineStr">
        <is>
          <t>COMPLETE</t>
        </is>
      </c>
    </row>
    <row r="5">
      <c r="A5" s="3" t="inlineStr"/>
      <c r="B5" s="3" t="inlineStr">
        <is>
          <t>Customer</t>
        </is>
      </c>
      <c r="C5" s="33" t="n">
        <v>2</v>
      </c>
      <c r="D5" s="4" t="n">
        <v>706.67</v>
      </c>
      <c r="E5" s="22" t="inlineStr"/>
    </row>
    <row r="6">
      <c r="A6" s="16" t="inlineStr">
        <is>
          <t>Shopify Direct subtotal</t>
        </is>
      </c>
      <c r="B6" s="18" t="n"/>
      <c r="C6" s="50">
        <f>SUM(C4:C5)</f>
        <v/>
      </c>
      <c r="D6" s="8">
        <f>SUM(D4:D5)</f>
        <v/>
      </c>
      <c r="E6" s="18" t="n"/>
    </row>
    <row r="7">
      <c r="A7" s="12" t="inlineStr">
        <is>
          <t>Amazon</t>
        </is>
      </c>
      <c r="B7" s="51" t="inlineStr">
        <is>
          <t>—</t>
        </is>
      </c>
      <c r="C7" s="51" t="inlineStr">
        <is>
          <t>—</t>
        </is>
      </c>
      <c r="D7" s="51" t="inlineStr">
        <is>
          <t>—</t>
        </is>
      </c>
      <c r="E7" s="52" t="inlineStr">
        <is>
          <t>NOT CONNECTED</t>
        </is>
      </c>
    </row>
    <row r="8">
      <c r="A8" s="13" t="inlineStr">
        <is>
          <t>B&amp;Q (Mirakl)</t>
        </is>
      </c>
      <c r="B8" s="19" t="inlineStr">
        <is>
          <t>Customer-cancelled</t>
        </is>
      </c>
      <c r="C8" s="49" t="n">
        <v>2</v>
      </c>
      <c r="D8" s="14" t="n">
        <v>0</v>
      </c>
      <c r="E8" s="17" t="inlineStr">
        <is>
          <t>COMPLETE</t>
        </is>
      </c>
    </row>
    <row r="9">
      <c r="A9" s="16" t="inlineStr">
        <is>
          <t>B&amp;Q (Mirakl) subtotal</t>
        </is>
      </c>
      <c r="B9" s="18" t="n"/>
      <c r="C9" s="50">
        <f>SUM(C8:C8)</f>
        <v/>
      </c>
      <c r="D9" s="8">
        <f>SUM(D8:D8)</f>
        <v/>
      </c>
      <c r="E9" s="18" t="n"/>
    </row>
    <row r="10" ht="18" customHeight="1">
      <c r="A10" s="25" t="inlineStr">
        <is>
          <t>TOTAL CANCELLATIONS</t>
        </is>
      </c>
      <c r="B10" s="26" t="n"/>
      <c r="C10" s="53">
        <f>C6+C9</f>
        <v/>
      </c>
      <c r="D10" s="27">
        <f>D6+D9</f>
        <v/>
      </c>
      <c r="E10" s="26" t="n"/>
    </row>
    <row r="12" ht="20" customHeight="1">
      <c r="A12" s="48" t="inlineStr">
        <is>
          <t>ℹ  Direct channel APIs only — Shopify (cancelReason), Amazon SP-API (IsBuyerRequestedCancellation), Mirakl/B&amp;Q (state). ManoMano, OnBuy and eBay cancellations are not yet covered.</t>
        </is>
      </c>
    </row>
  </sheetData>
  <mergeCells count="2">
    <mergeCell ref="A1:E1"/>
    <mergeCell ref="A12:E12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K8"/>
  <sheetViews>
    <sheetView showGridLines="0" workbookViewId="0">
      <selection activeCell="A1" sqref="A1"/>
    </sheetView>
  </sheetViews>
  <sheetFormatPr baseColWidth="8" defaultRowHeight="15"/>
  <cols>
    <col width="18" customWidth="1" min="1" max="1"/>
    <col width="38" customWidth="1" min="2" max="2"/>
    <col width="12" customWidth="1" min="3" max="3"/>
    <col width="12" customWidth="1" min="4" max="4"/>
    <col width="14" customWidth="1" min="5" max="5"/>
    <col width="14" customWidth="1" min="6" max="6"/>
    <col width="10" customWidth="1" min="7" max="7"/>
    <col width="12" customWidth="1" min="8" max="8"/>
    <col width="10" customWidth="1" min="9" max="9"/>
    <col width="10" customWidth="1" min="10" max="10"/>
    <col width="18" customWidth="1" min="11" max="11"/>
  </cols>
  <sheetData>
    <row r="1" ht="34" customHeight="1">
      <c r="A1" s="1" t="inlineStr">
        <is>
          <t>Paid Ad Spend  |  May 2026</t>
        </is>
      </c>
    </row>
    <row r="2" ht="4" customHeight="1"/>
    <row r="3" ht="22" customHeight="1">
      <c r="A3" s="2" t="inlineStr">
        <is>
          <t>Platform</t>
        </is>
      </c>
      <c r="B3" s="2" t="inlineStr">
        <is>
          <t>Campaign</t>
        </is>
      </c>
      <c r="C3" s="2" t="inlineStr">
        <is>
          <t>Spend (£)</t>
        </is>
      </c>
      <c r="D3" s="2" t="inlineStr">
        <is>
          <t>Conversions</t>
        </is>
      </c>
      <c r="E3" s="2" t="inlineStr">
        <is>
          <t>Conv. Value (£)</t>
        </is>
      </c>
      <c r="F3" s="2" t="inlineStr">
        <is>
          <t>Cost / Conv (£)</t>
        </is>
      </c>
      <c r="G3" s="2" t="inlineStr">
        <is>
          <t>ROAS</t>
        </is>
      </c>
      <c r="H3" s="2" t="inlineStr">
        <is>
          <t>Impressions</t>
        </is>
      </c>
      <c r="I3" s="2" t="inlineStr">
        <is>
          <t>Clicks</t>
        </is>
      </c>
      <c r="J3" s="2" t="inlineStr">
        <is>
          <t>CTR</t>
        </is>
      </c>
      <c r="K3" s="2" t="inlineStr">
        <is>
          <t>Coverage</t>
        </is>
      </c>
    </row>
    <row r="4">
      <c r="A4" s="13" t="inlineStr">
        <is>
          <t>Google Ads</t>
        </is>
      </c>
      <c r="B4" s="19" t="inlineStr">
        <is>
          <t>Categories | PMax | CS</t>
        </is>
      </c>
      <c r="C4" s="14" t="n">
        <v>9646.66</v>
      </c>
      <c r="D4" s="54" t="n">
        <v>84.23999999999999</v>
      </c>
      <c r="E4" s="14" t="n">
        <v>65390.39</v>
      </c>
      <c r="F4" s="14">
        <f>IFERROR(C4/D4,0)</f>
        <v/>
      </c>
      <c r="G4" s="54">
        <f>IFERROR(E4/C4,0)</f>
        <v/>
      </c>
      <c r="H4" s="49" t="n">
        <v>822116</v>
      </c>
      <c r="I4" s="49" t="n">
        <v>16268</v>
      </c>
      <c r="J4" s="15">
        <f>IFERROR(I4/H4,0)</f>
        <v/>
      </c>
      <c r="K4" s="17" t="inlineStr">
        <is>
          <t>COMPLETE</t>
        </is>
      </c>
    </row>
    <row r="6" ht="18" customHeight="1">
      <c r="A6" s="25" t="inlineStr">
        <is>
          <t>TOTAL AD SPEND</t>
        </is>
      </c>
      <c r="B6" s="26" t="n"/>
      <c r="C6" s="27">
        <f>C4</f>
        <v/>
      </c>
      <c r="D6" s="55">
        <f>D4</f>
        <v/>
      </c>
      <c r="E6" s="27">
        <f>E4</f>
        <v/>
      </c>
      <c r="F6" s="27">
        <f>IFERROR(C6/D6,0)</f>
        <v/>
      </c>
      <c r="G6" s="55">
        <f>IFERROR(E6/C6,0)</f>
        <v/>
      </c>
      <c r="H6" s="26" t="n"/>
      <c r="I6" s="26" t="n"/>
      <c r="J6" s="26" t="n"/>
      <c r="K6" s="26" t="n"/>
    </row>
    <row r="8" ht="20" customHeight="1">
      <c r="A8" s="48" t="inlineStr">
        <is>
          <t>ℹ  Showing campaigns with spend only. Conversions / Conv. Value / Cost-per-Conv / ROAS reflect Google Ads conversion tracking; eBay Promoted Listings does not yet feed conversion data into this report.</t>
        </is>
      </c>
    </row>
  </sheetData>
  <mergeCells count="2">
    <mergeCell ref="A1:K1"/>
    <mergeCell ref="A8:K8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F37"/>
  <sheetViews>
    <sheetView showGridLines="0" workbookViewId="0">
      <selection activeCell="A1" sqref="A1"/>
    </sheetView>
  </sheetViews>
  <sheetFormatPr baseColWidth="8" defaultRowHeight="15"/>
  <cols>
    <col width="20" customWidth="1" min="1" max="1"/>
    <col width="14" customWidth="1" min="2" max="2"/>
    <col width="36" customWidth="1" min="3" max="3"/>
    <col width="14" customWidth="1" min="4" max="4"/>
    <col width="22" customWidth="1" min="5" max="5"/>
    <col width="22" customWidth="1" min="6" max="6"/>
  </cols>
  <sheetData>
    <row r="1" ht="34" customHeight="1">
      <c r="A1" s="1" t="inlineStr">
        <is>
          <t>Raw Data — Transactions  |  May 2026</t>
        </is>
      </c>
    </row>
    <row r="2" ht="4" customHeight="1"/>
    <row r="3" ht="20" customHeight="1">
      <c r="A3" s="11" t="inlineStr">
        <is>
          <t xml:space="preserve">  eBay Finance Transactions</t>
        </is>
      </c>
    </row>
    <row r="4" ht="22" customHeight="1">
      <c r="A4" s="56" t="inlineStr">
        <is>
          <t>Transaction ID</t>
        </is>
      </c>
      <c r="B4" s="56" t="inlineStr">
        <is>
          <t>Date</t>
        </is>
      </c>
      <c r="C4" s="56" t="inlineStr">
        <is>
          <t>Type</t>
        </is>
      </c>
      <c r="D4" s="56" t="inlineStr">
        <is>
          <t>Amount (£)</t>
        </is>
      </c>
      <c r="E4" s="56" t="inlineStr">
        <is>
          <t>Order ID</t>
        </is>
      </c>
      <c r="F4" s="56" t="inlineStr">
        <is>
          <t>Source</t>
        </is>
      </c>
    </row>
    <row r="5">
      <c r="A5" s="3" t="inlineStr">
        <is>
          <t>23-14657-96725</t>
        </is>
      </c>
      <c r="B5" s="3" t="inlineStr">
        <is>
          <t>2026-05-24</t>
        </is>
      </c>
      <c r="C5" s="3" t="inlineStr">
        <is>
          <t>SALE</t>
        </is>
      </c>
      <c r="D5" s="4" t="n">
        <v>1210.51</v>
      </c>
      <c r="E5" s="3" t="inlineStr">
        <is>
          <t>23-14657-96725</t>
        </is>
      </c>
      <c r="F5" s="3" t="inlineStr">
        <is>
          <t>eBay Finances API</t>
        </is>
      </c>
    </row>
    <row r="6">
      <c r="A6" s="19" t="inlineStr">
        <is>
          <t>26-14652-90769</t>
        </is>
      </c>
      <c r="B6" s="19" t="inlineStr">
        <is>
          <t>2026-05-24</t>
        </is>
      </c>
      <c r="C6" s="19" t="inlineStr">
        <is>
          <t>SALE</t>
        </is>
      </c>
      <c r="D6" s="14" t="n">
        <v>1210.51</v>
      </c>
      <c r="E6" s="19" t="inlineStr">
        <is>
          <t>26-14652-90769</t>
        </is>
      </c>
      <c r="F6" s="19" t="inlineStr">
        <is>
          <t>eBay Finances API</t>
        </is>
      </c>
    </row>
    <row r="7">
      <c r="A7" s="3" t="inlineStr">
        <is>
          <t>FEE-8109165521911_11</t>
        </is>
      </c>
      <c r="B7" s="3" t="inlineStr">
        <is>
          <t>2026-05-21</t>
        </is>
      </c>
      <c r="C7" s="3" t="inlineStr">
        <is>
          <t>NON_SALE_CHARGE</t>
        </is>
      </c>
      <c r="D7" s="4" t="n">
        <v>0.12</v>
      </c>
      <c r="E7" s="3" t="inlineStr">
        <is>
          <t>—</t>
        </is>
      </c>
      <c r="F7" s="3" t="inlineStr">
        <is>
          <t>eBay Finances API</t>
        </is>
      </c>
    </row>
    <row r="8">
      <c r="A8" s="19" t="inlineStr">
        <is>
          <t>DISPUTE_HOLD_REVERSE-6671255098-6549824969</t>
        </is>
      </c>
      <c r="B8" s="19" t="inlineStr">
        <is>
          <t>2026-05-09</t>
        </is>
      </c>
      <c r="C8" s="19" t="inlineStr">
        <is>
          <t>CREDIT</t>
        </is>
      </c>
      <c r="D8" s="14" t="n">
        <v>199.99</v>
      </c>
      <c r="E8" s="19" t="inlineStr">
        <is>
          <t>04-14399-98099</t>
        </is>
      </c>
      <c r="F8" s="19" t="inlineStr">
        <is>
          <t>eBay Finances API</t>
        </is>
      </c>
    </row>
    <row r="9">
      <c r="A9" s="3" t="inlineStr">
        <is>
          <t>24905182983</t>
        </is>
      </c>
      <c r="B9" s="3" t="inlineStr">
        <is>
          <t>2026-05-08</t>
        </is>
      </c>
      <c r="C9" s="3" t="inlineStr">
        <is>
          <t>TRANSFER</t>
        </is>
      </c>
      <c r="D9" s="4" t="n">
        <v>1.8</v>
      </c>
      <c r="E9" s="3" t="inlineStr">
        <is>
          <t>—</t>
        </is>
      </c>
      <c r="F9" s="3" t="inlineStr">
        <is>
          <t>eBay Finances API</t>
        </is>
      </c>
    </row>
    <row r="10">
      <c r="A10" s="19" t="inlineStr">
        <is>
          <t>INVOICE-8051230661111_11</t>
        </is>
      </c>
      <c r="B10" s="19" t="inlineStr">
        <is>
          <t>2026-05-01</t>
        </is>
      </c>
      <c r="C10" s="19" t="inlineStr">
        <is>
          <t>NON_SALE_CHARGE</t>
        </is>
      </c>
      <c r="D10" s="14" t="n">
        <v>32.4</v>
      </c>
      <c r="E10" s="19" t="inlineStr">
        <is>
          <t>—</t>
        </is>
      </c>
      <c r="F10" s="19" t="inlineStr">
        <is>
          <t>eBay Finances API</t>
        </is>
      </c>
    </row>
    <row r="12" ht="20" customHeight="1">
      <c r="A12" s="57" t="inlineStr">
        <is>
          <t xml:space="preserve">  Amazon Settlement Line Items</t>
        </is>
      </c>
    </row>
    <row r="13" ht="22" customHeight="1">
      <c r="A13" s="32" t="inlineStr">
        <is>
          <t>Settlement ID</t>
        </is>
      </c>
      <c r="B13" s="32" t="inlineStr">
        <is>
          <t>Posted Date</t>
        </is>
      </c>
      <c r="C13" s="32" t="inlineStr">
        <is>
          <t>Fee Type</t>
        </is>
      </c>
      <c r="D13" s="32" t="inlineStr">
        <is>
          <t>Amount (£)</t>
        </is>
      </c>
      <c r="E13" s="32" t="inlineStr">
        <is>
          <t>Order ID</t>
        </is>
      </c>
      <c r="F13" s="32" t="inlineStr">
        <is>
          <t>Source</t>
        </is>
      </c>
    </row>
    <row r="14">
      <c r="A14" s="45" t="inlineStr"/>
      <c r="B14" s="45" t="inlineStr">
        <is>
          <t>2026-05-01T17:14:42Z</t>
        </is>
      </c>
      <c r="C14" s="45" t="inlineStr">
        <is>
          <t>Commission</t>
        </is>
      </c>
      <c r="D14" s="58" t="n">
        <v>-35.99</v>
      </c>
      <c r="E14" s="45" t="inlineStr">
        <is>
          <t>205-6979605-2383515</t>
        </is>
      </c>
      <c r="F14" s="45" t="inlineStr">
        <is>
          <t>SP-API Finances (Shipment)</t>
        </is>
      </c>
    </row>
    <row r="15">
      <c r="A15" s="3" t="inlineStr"/>
      <c r="B15" s="3" t="inlineStr">
        <is>
          <t>2026-05-01T17:14:42Z</t>
        </is>
      </c>
      <c r="C15" s="3" t="inlineStr">
        <is>
          <t>DigitalServicesFee</t>
        </is>
      </c>
      <c r="D15" s="4" t="n">
        <v>-0.72</v>
      </c>
      <c r="E15" s="3" t="inlineStr">
        <is>
          <t>205-6979605-2383515</t>
        </is>
      </c>
      <c r="F15" s="3" t="inlineStr">
        <is>
          <t>SP-API Finances (Shipment)</t>
        </is>
      </c>
    </row>
    <row r="16">
      <c r="A16" s="45" t="inlineStr"/>
      <c r="B16" s="45" t="inlineStr">
        <is>
          <t>2026-05-01T17:51:56Z</t>
        </is>
      </c>
      <c r="C16" s="45" t="inlineStr">
        <is>
          <t>FBAPerUnitFulfillmentFee</t>
        </is>
      </c>
      <c r="D16" s="58" t="n">
        <v>-15.99</v>
      </c>
      <c r="E16" s="45" t="inlineStr">
        <is>
          <t>202-4668783-3203504</t>
        </is>
      </c>
      <c r="F16" s="45" t="inlineStr">
        <is>
          <t>SP-API Finances (Shipment)</t>
        </is>
      </c>
    </row>
    <row r="17">
      <c r="A17" s="3" t="inlineStr"/>
      <c r="B17" s="3" t="inlineStr">
        <is>
          <t>2026-05-01T17:51:56Z</t>
        </is>
      </c>
      <c r="C17" s="3" t="inlineStr">
        <is>
          <t>Commission</t>
        </is>
      </c>
      <c r="D17" s="4" t="n">
        <v>-36</v>
      </c>
      <c r="E17" s="3" t="inlineStr">
        <is>
          <t>202-4668783-3203504</t>
        </is>
      </c>
      <c r="F17" s="3" t="inlineStr">
        <is>
          <t>SP-API Finances (Shipment)</t>
        </is>
      </c>
    </row>
    <row r="18">
      <c r="A18" s="45" t="inlineStr"/>
      <c r="B18" s="45" t="inlineStr">
        <is>
          <t>2026-05-01T17:51:56Z</t>
        </is>
      </c>
      <c r="C18" s="45" t="inlineStr">
        <is>
          <t>DigitalServicesFee</t>
        </is>
      </c>
      <c r="D18" s="58" t="n">
        <v>-1.05</v>
      </c>
      <c r="E18" s="45" t="inlineStr">
        <is>
          <t>202-4668783-3203504</t>
        </is>
      </c>
      <c r="F18" s="45" t="inlineStr">
        <is>
          <t>SP-API Finances (Shipment)</t>
        </is>
      </c>
    </row>
    <row r="19">
      <c r="A19" s="3" t="inlineStr"/>
      <c r="B19" s="3" t="inlineStr">
        <is>
          <t>2026-05-01T20:37:08Z</t>
        </is>
      </c>
      <c r="C19" s="3" t="inlineStr">
        <is>
          <t>Commission</t>
        </is>
      </c>
      <c r="D19" s="4" t="n">
        <v>-37.46</v>
      </c>
      <c r="E19" s="3" t="inlineStr">
        <is>
          <t>202-8129877-5077123</t>
        </is>
      </c>
      <c r="F19" s="3" t="inlineStr">
        <is>
          <t>SP-API Finances (Shipment)</t>
        </is>
      </c>
    </row>
    <row r="20">
      <c r="A20" s="45" t="inlineStr"/>
      <c r="B20" s="45" t="inlineStr">
        <is>
          <t>2026-05-01T20:37:08Z</t>
        </is>
      </c>
      <c r="C20" s="45" t="inlineStr">
        <is>
          <t>DigitalServicesFee</t>
        </is>
      </c>
      <c r="D20" s="58" t="n">
        <v>-0.75</v>
      </c>
      <c r="E20" s="45" t="inlineStr">
        <is>
          <t>202-8129877-5077123</t>
        </is>
      </c>
      <c r="F20" s="45" t="inlineStr">
        <is>
          <t>SP-API Finances (Shipment)</t>
        </is>
      </c>
    </row>
    <row r="21">
      <c r="A21" s="3" t="inlineStr"/>
      <c r="B21" s="3" t="inlineStr">
        <is>
          <t>2026-05-01T20:48:25Z</t>
        </is>
      </c>
      <c r="C21" s="3" t="inlineStr">
        <is>
          <t>FBAPerUnitFulfillmentFee</t>
        </is>
      </c>
      <c r="D21" s="4" t="n">
        <v>-21</v>
      </c>
      <c r="E21" s="3" t="inlineStr">
        <is>
          <t>205-3129033-4169965</t>
        </is>
      </c>
      <c r="F21" s="3" t="inlineStr">
        <is>
          <t>SP-API Finances (Shipment)</t>
        </is>
      </c>
    </row>
    <row r="22">
      <c r="A22" s="45" t="inlineStr"/>
      <c r="B22" s="45" t="inlineStr">
        <is>
          <t>2026-05-01T20:48:25Z</t>
        </is>
      </c>
      <c r="C22" s="45" t="inlineStr">
        <is>
          <t>Commission</t>
        </is>
      </c>
      <c r="D22" s="58" t="n">
        <v>-36</v>
      </c>
      <c r="E22" s="45" t="inlineStr">
        <is>
          <t>205-3129033-4169965</t>
        </is>
      </c>
      <c r="F22" s="45" t="inlineStr">
        <is>
          <t>SP-API Finances (Shipment)</t>
        </is>
      </c>
    </row>
    <row r="23">
      <c r="A23" s="3" t="inlineStr"/>
      <c r="B23" s="3" t="inlineStr">
        <is>
          <t>2026-05-01T20:48:25Z</t>
        </is>
      </c>
      <c r="C23" s="3" t="inlineStr">
        <is>
          <t>DigitalServicesFee</t>
        </is>
      </c>
      <c r="D23" s="4" t="n">
        <v>-1.14</v>
      </c>
      <c r="E23" s="3" t="inlineStr">
        <is>
          <t>205-3129033-4169965</t>
        </is>
      </c>
      <c r="F23" s="3" t="inlineStr">
        <is>
          <t>SP-API Finances (Shipment)</t>
        </is>
      </c>
    </row>
    <row r="24">
      <c r="A24" s="45" t="inlineStr"/>
      <c r="B24" s="45" t="inlineStr">
        <is>
          <t>2026-05-01T21:13:38Z</t>
        </is>
      </c>
      <c r="C24" s="45" t="inlineStr">
        <is>
          <t>FBAPerUnitFulfillmentFee</t>
        </is>
      </c>
      <c r="D24" s="58" t="n">
        <v>-21</v>
      </c>
      <c r="E24" s="45" t="inlineStr">
        <is>
          <t>206-1314824-4601121</t>
        </is>
      </c>
      <c r="F24" s="45" t="inlineStr">
        <is>
          <t>SP-API Finances (Shipment)</t>
        </is>
      </c>
    </row>
    <row r="25">
      <c r="A25" s="3" t="inlineStr"/>
      <c r="B25" s="3" t="inlineStr">
        <is>
          <t>2026-05-01T21:13:38Z</t>
        </is>
      </c>
      <c r="C25" s="3" t="inlineStr">
        <is>
          <t>Commission</t>
        </is>
      </c>
      <c r="D25" s="4" t="n">
        <v>-36</v>
      </c>
      <c r="E25" s="3" t="inlineStr">
        <is>
          <t>206-1314824-4601121</t>
        </is>
      </c>
      <c r="F25" s="3" t="inlineStr">
        <is>
          <t>SP-API Finances (Shipment)</t>
        </is>
      </c>
    </row>
    <row r="26">
      <c r="A26" s="45" t="inlineStr"/>
      <c r="B26" s="45" t="inlineStr">
        <is>
          <t>2026-05-01T21:13:38Z</t>
        </is>
      </c>
      <c r="C26" s="45" t="inlineStr">
        <is>
          <t>DigitalServicesFee</t>
        </is>
      </c>
      <c r="D26" s="58" t="n">
        <v>-1.14</v>
      </c>
      <c r="E26" s="45" t="inlineStr">
        <is>
          <t>206-1314824-4601121</t>
        </is>
      </c>
      <c r="F26" s="45" t="inlineStr">
        <is>
          <t>SP-API Finances (Shipment)</t>
        </is>
      </c>
    </row>
    <row r="27">
      <c r="A27" s="3" t="inlineStr"/>
      <c r="B27" s="3" t="inlineStr">
        <is>
          <t>2026-05-01T21:37:03Z</t>
        </is>
      </c>
      <c r="C27" s="3" t="inlineStr">
        <is>
          <t>Commission</t>
        </is>
      </c>
      <c r="D27" s="4" t="n">
        <v>-18</v>
      </c>
      <c r="E27" s="3" t="inlineStr">
        <is>
          <t>202-9133454-1737925</t>
        </is>
      </c>
      <c r="F27" s="3" t="inlineStr">
        <is>
          <t>SP-API Finances (Shipment)</t>
        </is>
      </c>
    </row>
    <row r="28">
      <c r="A28" s="45" t="inlineStr"/>
      <c r="B28" s="45" t="inlineStr">
        <is>
          <t>2026-05-01T21:37:03Z</t>
        </is>
      </c>
      <c r="C28" s="45" t="inlineStr">
        <is>
          <t>DigitalServicesFee</t>
        </is>
      </c>
      <c r="D28" s="58" t="n">
        <v>-0.36</v>
      </c>
      <c r="E28" s="45" t="inlineStr">
        <is>
          <t>202-9133454-1737925</t>
        </is>
      </c>
      <c r="F28" s="45" t="inlineStr">
        <is>
          <t>SP-API Finances (Shipment)</t>
        </is>
      </c>
    </row>
    <row r="29">
      <c r="A29" s="3" t="inlineStr"/>
      <c r="B29" s="3" t="inlineStr">
        <is>
          <t>2026-05-01T22:03:30Z</t>
        </is>
      </c>
      <c r="C29" s="3" t="inlineStr">
        <is>
          <t>FBAPerUnitFulfillmentFee</t>
        </is>
      </c>
      <c r="D29" s="4" t="n">
        <v>-21</v>
      </c>
      <c r="E29" s="3" t="inlineStr">
        <is>
          <t>206-4544056-8132308</t>
        </is>
      </c>
      <c r="F29" s="3" t="inlineStr">
        <is>
          <t>SP-API Finances (Shipment)</t>
        </is>
      </c>
    </row>
    <row r="30">
      <c r="A30" s="45" t="inlineStr"/>
      <c r="B30" s="45" t="inlineStr">
        <is>
          <t>2026-05-01T22:03:30Z</t>
        </is>
      </c>
      <c r="C30" s="45" t="inlineStr">
        <is>
          <t>Commission</t>
        </is>
      </c>
      <c r="D30" s="58" t="n">
        <v>-36</v>
      </c>
      <c r="E30" s="45" t="inlineStr">
        <is>
          <t>206-4544056-8132308</t>
        </is>
      </c>
      <c r="F30" s="45" t="inlineStr">
        <is>
          <t>SP-API Finances (Shipment)</t>
        </is>
      </c>
    </row>
    <row r="31">
      <c r="A31" s="3" t="inlineStr"/>
      <c r="B31" s="3" t="inlineStr">
        <is>
          <t>2026-05-01T22:03:30Z</t>
        </is>
      </c>
      <c r="C31" s="3" t="inlineStr">
        <is>
          <t>DigitalServicesFee</t>
        </is>
      </c>
      <c r="D31" s="4" t="n">
        <v>-1.14</v>
      </c>
      <c r="E31" s="3" t="inlineStr">
        <is>
          <t>206-4544056-8132308</t>
        </is>
      </c>
      <c r="F31" s="3" t="inlineStr">
        <is>
          <t>SP-API Finances (Shipment)</t>
        </is>
      </c>
    </row>
    <row r="32">
      <c r="A32" s="45" t="inlineStr"/>
      <c r="B32" s="45" t="inlineStr">
        <is>
          <t>2026-05-01T22:08:04Z</t>
        </is>
      </c>
      <c r="C32" s="45" t="inlineStr">
        <is>
          <t>FBAPerUnitFulfillmentFee</t>
        </is>
      </c>
      <c r="D32" s="58" t="n">
        <v>-21</v>
      </c>
      <c r="E32" s="45" t="inlineStr">
        <is>
          <t>204-0183953-9580342</t>
        </is>
      </c>
      <c r="F32" s="45" t="inlineStr">
        <is>
          <t>SP-API Finances (Shipment)</t>
        </is>
      </c>
    </row>
    <row r="33">
      <c r="A33" s="3" t="inlineStr"/>
      <c r="B33" s="3" t="inlineStr">
        <is>
          <t>2026-05-01T22:08:04Z</t>
        </is>
      </c>
      <c r="C33" s="3" t="inlineStr">
        <is>
          <t>Commission</t>
        </is>
      </c>
      <c r="D33" s="4" t="n">
        <v>-36</v>
      </c>
      <c r="E33" s="3" t="inlineStr">
        <is>
          <t>204-0183953-9580342</t>
        </is>
      </c>
      <c r="F33" s="3" t="inlineStr">
        <is>
          <t>SP-API Finances (Shipment)</t>
        </is>
      </c>
    </row>
    <row r="35" ht="20" customHeight="1">
      <c r="A35" s="11" t="inlineStr">
        <is>
          <t xml:space="preserve">  Google Ads — Campaign Spend</t>
        </is>
      </c>
    </row>
    <row r="36" ht="22" customHeight="1">
      <c r="A36" s="56" t="inlineStr">
        <is>
          <t>Campaign ID</t>
        </is>
      </c>
      <c r="B36" s="56" t="inlineStr">
        <is>
          <t>Type</t>
        </is>
      </c>
      <c r="C36" s="56" t="inlineStr">
        <is>
          <t>Campaign Name</t>
        </is>
      </c>
      <c r="D36" s="56" t="inlineStr">
        <is>
          <t>Spend (£)</t>
        </is>
      </c>
      <c r="E36" s="56" t="inlineStr">
        <is>
          <t>Impressions</t>
        </is>
      </c>
      <c r="F36" s="56" t="inlineStr">
        <is>
          <t>Clicks</t>
        </is>
      </c>
    </row>
    <row r="37">
      <c r="A37" s="3" t="inlineStr">
        <is>
          <t>22988998513</t>
        </is>
      </c>
      <c r="B37" s="3" t="inlineStr">
        <is>
          <t>PERFORMANCE_MAX</t>
        </is>
      </c>
      <c r="C37" s="3" t="inlineStr">
        <is>
          <t>Categories | PMax | CS</t>
        </is>
      </c>
      <c r="D37" s="4" t="n">
        <v>9646.664971</v>
      </c>
      <c r="E37" s="3" t="n">
        <v>822116</v>
      </c>
      <c r="F37" s="3" t="n">
        <v>16268</v>
      </c>
    </row>
  </sheetData>
  <mergeCells count="4">
    <mergeCell ref="A3:F3"/>
    <mergeCell ref="A1:F1"/>
    <mergeCell ref="A12:F12"/>
    <mergeCell ref="A35:F35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2026-05-26T06:47:15Z</dcterms:created>
  <dcterms:modified xmlns:dcterms="http://purl.org/dc/terms/" xmlns:xsi="http://www.w3.org/2001/XMLSchema-instance" xsi:type="dcterms:W3CDTF">2026-05-26T06:47:15Z</dcterms:modified>
</cp:coreProperties>
</file>